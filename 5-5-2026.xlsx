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D89FF3C-5019-4AE2-809F-920B37A72EDF}" xr6:coauthVersionLast="47" xr6:coauthVersionMax="47" xr10:uidLastSave="{00000000-0000-0000-0000-000000000000}"/>
  <bookViews>
    <workbookView xWindow="-120" yWindow="-120" windowWidth="29040" windowHeight="15720" activeTab="1" xr2:uid="{69C3766C-CE63-4012-984E-2B8FA914F49C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9" i="2" l="1"/>
  <c r="D39" i="2"/>
  <c r="N39" i="2" s="1"/>
  <c r="J38" i="2"/>
  <c r="I38" i="2"/>
  <c r="H38" i="2"/>
  <c r="G38" i="2"/>
  <c r="F38" i="2"/>
  <c r="E37" i="2"/>
  <c r="D37" i="2"/>
  <c r="N37" i="2" s="1"/>
  <c r="E36" i="2"/>
  <c r="D36" i="2"/>
  <c r="N36" i="2" s="1"/>
  <c r="E35" i="2"/>
  <c r="D35" i="2"/>
  <c r="N35" i="2" s="1"/>
  <c r="E34" i="2"/>
  <c r="D34" i="2"/>
  <c r="N34" i="2" s="1"/>
  <c r="E33" i="2"/>
  <c r="D33" i="2"/>
  <c r="N33" i="2" s="1"/>
  <c r="E32" i="2"/>
  <c r="D32" i="2"/>
  <c r="N32" i="2" s="1"/>
  <c r="E31" i="2"/>
  <c r="D31" i="2"/>
  <c r="N31" i="2" s="1"/>
  <c r="E30" i="2"/>
  <c r="D30" i="2"/>
  <c r="N30" i="2" s="1"/>
  <c r="E29" i="2"/>
  <c r="D29" i="2"/>
  <c r="N29" i="2" s="1"/>
  <c r="E28" i="2"/>
  <c r="D28" i="2"/>
  <c r="N28" i="2" s="1"/>
  <c r="E27" i="2"/>
  <c r="D27" i="2"/>
  <c r="N27" i="2" s="1"/>
  <c r="E26" i="2"/>
  <c r="D26" i="2"/>
  <c r="N26" i="2" s="1"/>
  <c r="E25" i="2"/>
  <c r="D25" i="2"/>
  <c r="N25" i="2" s="1"/>
  <c r="E24" i="2"/>
  <c r="D24" i="2"/>
  <c r="N24" i="2" s="1"/>
  <c r="E23" i="2"/>
  <c r="D23" i="2"/>
  <c r="N23" i="2" s="1"/>
  <c r="E22" i="2"/>
  <c r="D22" i="2"/>
  <c r="N22" i="2" s="1"/>
  <c r="E21" i="2"/>
  <c r="D21" i="2"/>
  <c r="N21" i="2" s="1"/>
  <c r="E20" i="2"/>
  <c r="O20" i="2" s="1"/>
  <c r="D20" i="2"/>
  <c r="N20" i="2" s="1"/>
  <c r="E19" i="2"/>
  <c r="D19" i="2"/>
  <c r="N19" i="2" s="1"/>
  <c r="E18" i="2"/>
  <c r="D18" i="2"/>
  <c r="N18" i="2" s="1"/>
  <c r="E17" i="2"/>
  <c r="D17" i="2"/>
  <c r="N17" i="2" s="1"/>
  <c r="E16" i="2"/>
  <c r="D16" i="2"/>
  <c r="N16" i="2" s="1"/>
  <c r="E15" i="2"/>
  <c r="D15" i="2"/>
  <c r="O14" i="2"/>
  <c r="E14" i="2"/>
  <c r="D14" i="2"/>
  <c r="N14" i="2" s="1"/>
  <c r="E13" i="2"/>
  <c r="D13" i="2"/>
  <c r="N13" i="2" s="1"/>
  <c r="E12" i="2"/>
  <c r="D12" i="2"/>
  <c r="N12" i="2" s="1"/>
  <c r="G11" i="2"/>
  <c r="E11" i="2"/>
  <c r="D11" i="2"/>
  <c r="N11" i="2" s="1"/>
  <c r="E10" i="2"/>
  <c r="O10" i="2" s="1"/>
  <c r="D10" i="2"/>
  <c r="N10" i="2" s="1"/>
  <c r="E9" i="2"/>
  <c r="D9" i="2"/>
  <c r="N9" i="2" s="1"/>
  <c r="E8" i="2"/>
  <c r="O8" i="2" s="1"/>
  <c r="D8" i="2"/>
  <c r="N8" i="2" s="1"/>
  <c r="I7" i="2"/>
  <c r="E7" i="2"/>
  <c r="O7" i="2" s="1"/>
  <c r="D7" i="2"/>
  <c r="N7" i="2" s="1"/>
  <c r="E6" i="2"/>
  <c r="O6" i="2" s="1"/>
  <c r="D6" i="2"/>
  <c r="N6" i="2" s="1"/>
  <c r="E70" i="1"/>
  <c r="E68" i="1"/>
  <c r="D65" i="1"/>
  <c r="E64" i="1"/>
  <c r="E72" i="1" s="1"/>
  <c r="D64" i="1"/>
  <c r="D72" i="1" s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G58" i="1" s="1"/>
  <c r="E52" i="1"/>
  <c r="E58" i="1" s="1"/>
  <c r="D52" i="1"/>
  <c r="D58" i="1" s="1"/>
  <c r="F39" i="1"/>
  <c r="D38" i="1"/>
  <c r="F37" i="1"/>
  <c r="F52" i="1" s="1"/>
  <c r="F58" i="1" s="1"/>
  <c r="D36" i="1"/>
  <c r="I28" i="1"/>
  <c r="E11" i="1"/>
  <c r="E9" i="1"/>
  <c r="D6" i="1"/>
  <c r="D13" i="1" s="1"/>
  <c r="D73" i="1" s="1"/>
  <c r="E5" i="1"/>
  <c r="E13" i="1" s="1"/>
  <c r="E73" i="1" s="1"/>
  <c r="B2" i="1"/>
  <c r="O15" i="2" l="1"/>
  <c r="O38" i="2" s="1"/>
  <c r="E38" i="2"/>
  <c r="N15" i="2"/>
  <c r="N38" i="2" s="1"/>
  <c r="D38" i="2"/>
</calcChain>
</file>

<file path=xl/sharedStrings.xml><?xml version="1.0" encoding="utf-8"?>
<sst xmlns="http://schemas.openxmlformats.org/spreadsheetml/2006/main" count="200" uniqueCount="135">
  <si>
    <t>Op Bal</t>
  </si>
  <si>
    <t>DAILY TRANSCATION -1</t>
  </si>
  <si>
    <t>DAILY TRANSCATION -2</t>
  </si>
  <si>
    <t xml:space="preserve">DAILY TRANSCATION -PERSONAL </t>
  </si>
  <si>
    <t xml:space="preserve">CASH </t>
  </si>
  <si>
    <t xml:space="preserve">                             -  </t>
  </si>
  <si>
    <t>HOLD</t>
  </si>
  <si>
    <t xml:space="preserve">                               -  </t>
  </si>
  <si>
    <t>BANK ACCOUNT BALANCE IN EUR CONVERTED INTO USD</t>
  </si>
  <si>
    <t>CASH BALANCE IN RMB CONVERTED INTO AED</t>
  </si>
  <si>
    <t>PAY A/C</t>
  </si>
  <si>
    <t>TRANSIT</t>
  </si>
  <si>
    <t xml:space="preserve">TOTAL </t>
  </si>
  <si>
    <t>NATURE</t>
  </si>
  <si>
    <t>TRANSACTION</t>
  </si>
  <si>
    <t xml:space="preserve">INWARD  FUND </t>
  </si>
  <si>
    <t xml:space="preserve"> OUTWARD FUND </t>
  </si>
  <si>
    <t xml:space="preserve">REFERENCE </t>
  </si>
  <si>
    <t xml:space="preserve">AED </t>
  </si>
  <si>
    <t xml:space="preserve"> USD  </t>
  </si>
  <si>
    <t>AED</t>
  </si>
  <si>
    <t>CASH</t>
  </si>
  <si>
    <t>CASH RECEIVED FROM KUMUD CASH TRADE</t>
  </si>
  <si>
    <t xml:space="preserve">KUMUD CT </t>
  </si>
  <si>
    <t xml:space="preserve">CASH RECEIVED FROM SHAMI BHAI CT </t>
  </si>
  <si>
    <t>SHAMI BHAI CT</t>
  </si>
  <si>
    <t xml:space="preserve">CASH RECEIVED FROM MAK STAR </t>
  </si>
  <si>
    <t>MAK STAR</t>
  </si>
  <si>
    <t>CASH DEPOSITED TO NETFLOW SIB AC</t>
  </si>
  <si>
    <t>DEPOSITED</t>
  </si>
  <si>
    <t>CASH DEPOSITED TO MAPLESKY SIB AC</t>
  </si>
  <si>
    <t xml:space="preserve">CASH PAID FOR ROHIT BHARDWAJ  TICKET BOOKING PUNE TO DUBAI </t>
  </si>
  <si>
    <t>PARADE WAVE</t>
  </si>
  <si>
    <t>CASH PAID FOR MOBILE RECHARE ROHIT BHARDWAJ</t>
  </si>
  <si>
    <t>CASH PAID FOR ROSHAN &amp; HAFIZ BUS  EXP</t>
  </si>
  <si>
    <t>PINNACLE</t>
  </si>
  <si>
    <t>CASH PAID TO ASHOK C/O RITU RAJ IMPEX</t>
  </si>
  <si>
    <t>RITU RAJ IMPEX</t>
  </si>
  <si>
    <t>CASH PAID FOR LAUNDRY EXP C/O PINNACLE</t>
  </si>
  <si>
    <t xml:space="preserve">CASH PAID TO NOMAN C/O TRADE BACK </t>
  </si>
  <si>
    <t>TRADE BACK</t>
  </si>
  <si>
    <t>CASH PAID TO NITENDAR JI CASH TRADE</t>
  </si>
  <si>
    <t>NITENDAR JI CT</t>
  </si>
  <si>
    <t>CASH RECEIVED FROM CENTURY HK( 1 KA NOTE - 74N 995029)</t>
  </si>
  <si>
    <t xml:space="preserve">CENTURY HK </t>
  </si>
  <si>
    <t>CASH PAID TO RAZA FOR ADVANCE TICKET BOOKING</t>
  </si>
  <si>
    <t>RAZA</t>
  </si>
  <si>
    <t xml:space="preserve">CASH PAID FOR STICK KULFI  PURCHASE </t>
  </si>
  <si>
    <t xml:space="preserve">CASH PAID TO ROHIT BHAI FOR GRENEW PINNACLE INT  WIO ACCOUNT OPENING </t>
  </si>
  <si>
    <t xml:space="preserve">JAFZA </t>
  </si>
  <si>
    <t>CASH RECEIVED FROM FAISAL CASH TRADE</t>
  </si>
  <si>
    <t>FAISAL CT</t>
  </si>
  <si>
    <t xml:space="preserve">CASH RECEIVED FOR GRENEW SALE ADVANCE </t>
  </si>
  <si>
    <t>GRENEW</t>
  </si>
  <si>
    <t>CASH DEPOSITED TO MJS STAR EIB AC</t>
  </si>
  <si>
    <t>RECEIVED FROM   CENTURY  HK    FOR PAYMENT TO BNK TURNKEY PROJECTS CONTRACTING LLC    USD 42,060@3.673</t>
  </si>
  <si>
    <t xml:space="preserve">CENTURY </t>
  </si>
  <si>
    <t>PAID TO BNK TURNKEY PROJECTS CONTRACTING LLC    AGAINST RECEIPT FROM   CENTURY HK USD 42,060@3.673</t>
  </si>
  <si>
    <t>CASH RECEIVED FROM  ROHIT BHAI    PAID TO ADTIYA JI   INR  380,000 @25.88</t>
  </si>
  <si>
    <t xml:space="preserve">ROHIT BHAI </t>
  </si>
  <si>
    <t>CASH PAID TO  ADTIYA JI     RECEIVED FROM  ROHIT BHAI INR  380,000 @25.88</t>
  </si>
  <si>
    <t xml:space="preserve">TB EXP </t>
  </si>
  <si>
    <t>RECEIVED FROM  GUJARAT PLASTIC   FOR PAYMENT TO IMAGRO SPA  EURO 50,000@4.44</t>
  </si>
  <si>
    <t>GUJARAT PLASTIC</t>
  </si>
  <si>
    <t>PAID TO  IMAGRO  SPA   AGAINST RECEIPT FROM  GUJARAT PLASTIC   EURO 50,000@4.44</t>
  </si>
  <si>
    <t xml:space="preserve">IMAGRO </t>
  </si>
  <si>
    <t>BANK-2</t>
  </si>
  <si>
    <t>CASH RECEIVED IN NETFLOW SIB AC</t>
  </si>
  <si>
    <t>RECEIVED</t>
  </si>
  <si>
    <t>CASH RECEIVED IN MAPLESKY SIB AC</t>
  </si>
  <si>
    <t>CASH RECEIVED IN MJS STAR EIB AC</t>
  </si>
  <si>
    <t>BANK-1</t>
  </si>
  <si>
    <t xml:space="preserve">TT TRANSFER FROM BLACKPEPPER GT NBF TO BALAJI AGRO P LTD </t>
  </si>
  <si>
    <t xml:space="preserve">PARDEEP JI </t>
  </si>
  <si>
    <t>TT TRANSFER FROM INFINITY  FORTUNE   WIO TO GUJARAT PLASTIC SIB AC</t>
  </si>
  <si>
    <t>BANK-Per</t>
  </si>
  <si>
    <t>CHEQUE PAID  TO SIBILING INVESTMENT LLC FROM VISHAL BAKLE WIO CHQ 000006 FOR SIGMA 111 RENT</t>
  </si>
  <si>
    <t>BANK-Pay</t>
  </si>
  <si>
    <t>TT TRANSFER FROM HEDGES SOKIN TO INFINITY FORTUNE WIO USD 53,667.85</t>
  </si>
  <si>
    <t xml:space="preserve">TRANSIT </t>
  </si>
  <si>
    <t>BANK CHARGES</t>
  </si>
  <si>
    <t>CHARGES</t>
  </si>
  <si>
    <t>CASH ADJUSTMENTS</t>
  </si>
  <si>
    <t>BANK ADJUSTMENTS (TRANSACTION -1)</t>
  </si>
  <si>
    <t>BANK ADJUSTMENTS (TRANSACTION -2)</t>
  </si>
  <si>
    <t>BANK ADJUSTMENTS (TRANSACTION -PERSONAL)</t>
  </si>
  <si>
    <t>BANK ADJUSTMENTS (PAY)</t>
  </si>
  <si>
    <t>TOTAL ADJUSTMENTS</t>
  </si>
  <si>
    <t>Cl Bal</t>
  </si>
  <si>
    <t>BANK  BALANCE IN  EURO CONVERTED INTO USD</t>
  </si>
  <si>
    <t>REMARKS</t>
  </si>
  <si>
    <t>TT TRANSFER FROM HEDGES SOKIN TO INFINITY FORTUNE WIO USD 53,667.85( CREDITED )</t>
  </si>
  <si>
    <t>PGCO INTERNATIONAL BALANCE ADDED IN RITURAJ IMPEX</t>
  </si>
  <si>
    <t>.</t>
  </si>
  <si>
    <t>COMMENTS</t>
  </si>
  <si>
    <t>OPENING BALANCE</t>
  </si>
  <si>
    <t>INWARD FUND</t>
  </si>
  <si>
    <t>OUTWARD FUND</t>
  </si>
  <si>
    <t>CASH TRADE COMMISSION (AED)</t>
  </si>
  <si>
    <t>CLOSING BALANCE</t>
  </si>
  <si>
    <t xml:space="preserve">USD </t>
  </si>
  <si>
    <t>NEGATIVE / RED</t>
  </si>
  <si>
    <t>MONEY RECD - NEED TO PAY</t>
  </si>
  <si>
    <t>CENTURY (HK)</t>
  </si>
  <si>
    <t>POSITIVE / GREEN</t>
  </si>
  <si>
    <t>MONEY PAID - NEED TO RECEIVE</t>
  </si>
  <si>
    <t>AJAY GABA</t>
  </si>
  <si>
    <t>AJAY GABA 2</t>
  </si>
  <si>
    <t>ROHIT BHAI</t>
  </si>
  <si>
    <t xml:space="preserve">ROHIT BHAI INR </t>
  </si>
  <si>
    <t xml:space="preserve">ROHIT MALASYIA </t>
  </si>
  <si>
    <t>CENTURY HK ( INR )</t>
  </si>
  <si>
    <t>SD  CT</t>
  </si>
  <si>
    <t>AJIT</t>
  </si>
  <si>
    <t>SHAMI CASH TRADE</t>
  </si>
  <si>
    <t>SHAMI BHAI TT</t>
  </si>
  <si>
    <t>SANDEEP KEDIA</t>
  </si>
  <si>
    <t>HITEN BHAI</t>
  </si>
  <si>
    <t>PAWAN GABA</t>
  </si>
  <si>
    <t>HEMANT NAGRALE (ARUN JI)</t>
  </si>
  <si>
    <t xml:space="preserve">PARDEEP JAIN </t>
  </si>
  <si>
    <t>ADITYA JI CASH TRADE( QUANTUM )</t>
  </si>
  <si>
    <t xml:space="preserve">KUMUD CASH TRADE </t>
  </si>
  <si>
    <t>RONNY CASH TRADE</t>
  </si>
  <si>
    <t xml:space="preserve">NITENDRA CT </t>
  </si>
  <si>
    <t xml:space="preserve">RAJIV KAPOOR </t>
  </si>
  <si>
    <t>HITESH BHATIA</t>
  </si>
  <si>
    <t>JIMMY CT</t>
  </si>
  <si>
    <t xml:space="preserve">SAHIL CASH TRADE </t>
  </si>
  <si>
    <t>HASSAM</t>
  </si>
  <si>
    <t xml:space="preserve">MOHAMMED ASSI CT </t>
  </si>
  <si>
    <t xml:space="preserve">DR ANAND </t>
  </si>
  <si>
    <t>ASHISH MEHTA CT</t>
  </si>
  <si>
    <t xml:space="preserve">MOHIT CT </t>
  </si>
  <si>
    <t>ALCHEMIST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</si>
</sst>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d\-mmm\-yy;@"/>
    <numFmt numFmtId="165" formatCode="_-* #,##0.00_-;\-* #,##0.00_-;_-* &quot;-&quot;??_-;_-@_-"/>
    <numFmt numFmtId="166" formatCode="[$-F800]dddd\,\ mmmm\ dd\,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Times New Roman"/>
      <family val="1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rgb="FF92D05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7">
    <xf numFmtId="0" fontId="0" fillId="0" borderId="0" xfId="0"/>
    <xf numFmtId="16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5" fontId="6" fillId="2" borderId="0" xfId="0" applyNumberFormat="1" applyFont="1" applyFill="1"/>
    <xf numFmtId="0" fontId="7" fillId="0" borderId="0" xfId="0" applyFont="1"/>
    <xf numFmtId="165" fontId="6" fillId="0" borderId="0" xfId="0" applyNumberFormat="1" applyFont="1"/>
    <xf numFmtId="0" fontId="8" fillId="0" borderId="0" xfId="0" applyFont="1" applyAlignment="1">
      <alignment horizontal="left" wrapText="1"/>
    </xf>
    <xf numFmtId="43" fontId="9" fillId="0" borderId="0" xfId="0" applyNumberFormat="1" applyFont="1"/>
    <xf numFmtId="165" fontId="0" fillId="0" borderId="0" xfId="2" applyFont="1"/>
    <xf numFmtId="43" fontId="10" fillId="3" borderId="0" xfId="1" applyFont="1" applyFill="1" applyBorder="1" applyAlignment="1">
      <alignment horizontal="left" wrapText="1"/>
    </xf>
    <xf numFmtId="43" fontId="9" fillId="0" borderId="0" xfId="3" applyNumberFormat="1" applyFont="1"/>
    <xf numFmtId="43" fontId="6" fillId="0" borderId="0" xfId="0" applyNumberFormat="1" applyFont="1"/>
    <xf numFmtId="43" fontId="0" fillId="0" borderId="0" xfId="0" applyNumberFormat="1"/>
    <xf numFmtId="0" fontId="2" fillId="4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5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11" fillId="0" borderId="0" xfId="0" applyFont="1"/>
    <xf numFmtId="0" fontId="10" fillId="3" borderId="1" xfId="0" applyFont="1" applyFill="1" applyBorder="1" applyAlignment="1">
      <alignment horizontal="left"/>
    </xf>
    <xf numFmtId="43" fontId="10" fillId="3" borderId="1" xfId="1" applyFont="1" applyFill="1" applyBorder="1" applyAlignment="1">
      <alignment horizontal="left" wrapText="1"/>
    </xf>
    <xf numFmtId="165" fontId="12" fillId="0" borderId="1" xfId="2" applyFont="1" applyBorder="1"/>
    <xf numFmtId="0" fontId="10" fillId="3" borderId="1" xfId="0" applyFont="1" applyFill="1" applyBorder="1" applyAlignment="1">
      <alignment horizontal="left" wrapText="1"/>
    </xf>
    <xf numFmtId="0" fontId="13" fillId="0" borderId="0" xfId="0" applyFont="1"/>
    <xf numFmtId="43" fontId="13" fillId="0" borderId="0" xfId="0" applyNumberFormat="1" applyFont="1"/>
    <xf numFmtId="43" fontId="14" fillId="0" borderId="0" xfId="0" applyNumberFormat="1" applyFont="1"/>
    <xf numFmtId="43" fontId="10" fillId="5" borderId="1" xfId="1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5" fillId="3" borderId="1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 wrapText="1"/>
    </xf>
    <xf numFmtId="0" fontId="10" fillId="3" borderId="5" xfId="0" applyFont="1" applyFill="1" applyBorder="1" applyAlignment="1">
      <alignment horizontal="left" wrapText="1"/>
    </xf>
    <xf numFmtId="43" fontId="10" fillId="3" borderId="5" xfId="1" applyFont="1" applyFill="1" applyBorder="1" applyAlignment="1">
      <alignment horizontal="right" wrapText="1"/>
    </xf>
    <xf numFmtId="43" fontId="10" fillId="3" borderId="6" xfId="1" applyFont="1" applyFill="1" applyBorder="1" applyAlignment="1">
      <alignment horizontal="right" wrapText="1"/>
    </xf>
    <xf numFmtId="0" fontId="16" fillId="0" borderId="0" xfId="0" applyFont="1"/>
    <xf numFmtId="0" fontId="17" fillId="0" borderId="0" xfId="0" applyFont="1"/>
    <xf numFmtId="0" fontId="8" fillId="0" borderId="5" xfId="0" applyFont="1" applyBorder="1" applyAlignment="1">
      <alignment horizontal="left"/>
    </xf>
    <xf numFmtId="43" fontId="10" fillId="3" borderId="1" xfId="1" applyFont="1" applyFill="1" applyBorder="1" applyAlignment="1">
      <alignment horizontal="right" wrapText="1"/>
    </xf>
    <xf numFmtId="165" fontId="8" fillId="0" borderId="5" xfId="3" applyFont="1" applyBorder="1"/>
    <xf numFmtId="165" fontId="8" fillId="0" borderId="6" xfId="3" applyFont="1" applyBorder="1"/>
    <xf numFmtId="165" fontId="8" fillId="0" borderId="1" xfId="3" applyFont="1" applyBorder="1"/>
    <xf numFmtId="165" fontId="8" fillId="0" borderId="3" xfId="3" applyFont="1" applyBorder="1"/>
    <xf numFmtId="0" fontId="10" fillId="0" borderId="0" xfId="0" applyFont="1" applyAlignment="1">
      <alignment horizontal="left" wrapText="1"/>
    </xf>
    <xf numFmtId="165" fontId="8" fillId="0" borderId="2" xfId="3" applyFont="1" applyBorder="1"/>
    <xf numFmtId="165" fontId="8" fillId="0" borderId="7" xfId="3" applyFont="1" applyBorder="1"/>
    <xf numFmtId="0" fontId="18" fillId="0" borderId="0" xfId="0" applyFont="1"/>
    <xf numFmtId="0" fontId="2" fillId="0" borderId="0" xfId="0" applyFont="1"/>
    <xf numFmtId="0" fontId="7" fillId="0" borderId="8" xfId="0" applyFont="1" applyBorder="1" applyAlignment="1">
      <alignment horizontal="left"/>
    </xf>
    <xf numFmtId="165" fontId="19" fillId="0" borderId="2" xfId="3" applyFont="1" applyBorder="1"/>
    <xf numFmtId="0" fontId="7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165" fontId="2" fillId="2" borderId="9" xfId="0" applyNumberFormat="1" applyFont="1" applyFill="1" applyBorder="1"/>
    <xf numFmtId="43" fontId="3" fillId="0" borderId="0" xfId="0" applyNumberFormat="1" applyFont="1"/>
    <xf numFmtId="43" fontId="20" fillId="0" borderId="0" xfId="0" applyNumberFormat="1" applyFont="1"/>
    <xf numFmtId="43" fontId="19" fillId="0" borderId="0" xfId="0" applyNumberFormat="1" applyFont="1"/>
    <xf numFmtId="165" fontId="18" fillId="0" borderId="5" xfId="0" applyNumberFormat="1" applyFont="1" applyBorder="1"/>
    <xf numFmtId="165" fontId="18" fillId="0" borderId="4" xfId="0" applyNumberFormat="1" applyFont="1" applyBorder="1"/>
    <xf numFmtId="165" fontId="18" fillId="0" borderId="0" xfId="0" applyNumberFormat="1" applyFont="1"/>
    <xf numFmtId="165" fontId="0" fillId="0" borderId="0" xfId="0" applyNumberFormat="1"/>
    <xf numFmtId="0" fontId="21" fillId="0" borderId="0" xfId="0" applyFont="1"/>
    <xf numFmtId="43" fontId="18" fillId="0" borderId="0" xfId="0" applyNumberFormat="1" applyFont="1"/>
    <xf numFmtId="0" fontId="2" fillId="0" borderId="0" xfId="0" applyFont="1" applyAlignment="1">
      <alignment horizontal="left"/>
    </xf>
    <xf numFmtId="43" fontId="4" fillId="0" borderId="0" xfId="0" applyNumberFormat="1" applyFont="1"/>
    <xf numFmtId="43" fontId="22" fillId="3" borderId="0" xfId="1" applyFont="1" applyFill="1" applyBorder="1" applyAlignment="1">
      <alignment horizontal="left" wrapText="1"/>
    </xf>
    <xf numFmtId="43" fontId="23" fillId="3" borderId="0" xfId="1" applyFont="1" applyFill="1" applyBorder="1" applyAlignment="1">
      <alignment horizontal="left" wrapText="1"/>
    </xf>
    <xf numFmtId="165" fontId="3" fillId="0" borderId="0" xfId="0" applyNumberFormat="1" applyFont="1"/>
    <xf numFmtId="43" fontId="0" fillId="0" borderId="0" xfId="1" applyFont="1"/>
    <xf numFmtId="14" fontId="24" fillId="0" borderId="0" xfId="0" applyNumberFormat="1" applyFont="1"/>
    <xf numFmtId="14" fontId="0" fillId="0" borderId="0" xfId="0" applyNumberFormat="1"/>
    <xf numFmtId="2" fontId="24" fillId="5" borderId="0" xfId="0" applyNumberFormat="1" applyFont="1" applyFill="1"/>
    <xf numFmtId="0" fontId="0" fillId="5" borderId="0" xfId="0" applyFill="1"/>
    <xf numFmtId="14" fontId="25" fillId="0" borderId="0" xfId="0" applyNumberFormat="1" applyFont="1"/>
    <xf numFmtId="0" fontId="25" fillId="0" borderId="0" xfId="0" applyFont="1"/>
    <xf numFmtId="166" fontId="26" fillId="0" borderId="0" xfId="0" applyNumberFormat="1" applyFont="1" applyAlignment="1">
      <alignment horizontal="center"/>
    </xf>
    <xf numFmtId="0" fontId="27" fillId="0" borderId="0" xfId="0" applyFont="1"/>
    <xf numFmtId="2" fontId="0" fillId="0" borderId="0" xfId="0" applyNumberFormat="1"/>
    <xf numFmtId="0" fontId="28" fillId="0" borderId="0" xfId="0" applyFont="1"/>
    <xf numFmtId="165" fontId="28" fillId="0" borderId="0" xfId="3" applyFont="1"/>
    <xf numFmtId="0" fontId="19" fillId="0" borderId="0" xfId="0" applyFont="1" applyAlignment="1">
      <alignment horizontal="left"/>
    </xf>
    <xf numFmtId="0" fontId="24" fillId="6" borderId="1" xfId="0" applyFont="1" applyFill="1" applyBorder="1"/>
    <xf numFmtId="0" fontId="24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 wrapText="1"/>
    </xf>
    <xf numFmtId="165" fontId="24" fillId="6" borderId="1" xfId="3" applyFont="1" applyFill="1" applyBorder="1" applyAlignment="1">
      <alignment horizontal="center"/>
    </xf>
    <xf numFmtId="2" fontId="24" fillId="7" borderId="0" xfId="0" applyNumberFormat="1" applyFont="1" applyFill="1"/>
    <xf numFmtId="0" fontId="24" fillId="0" borderId="0" xfId="0" applyFont="1"/>
    <xf numFmtId="43" fontId="19" fillId="0" borderId="1" xfId="2" applyNumberFormat="1" applyFont="1" applyFill="1" applyBorder="1"/>
    <xf numFmtId="43" fontId="10" fillId="3" borderId="1" xfId="4" applyFont="1" applyFill="1" applyBorder="1" applyAlignment="1">
      <alignment horizontal="right" wrapText="1"/>
    </xf>
    <xf numFmtId="43" fontId="10" fillId="3" borderId="1" xfId="4" applyFont="1" applyFill="1" applyBorder="1" applyAlignment="1">
      <alignment horizontal="left" wrapText="1"/>
    </xf>
    <xf numFmtId="39" fontId="19" fillId="0" borderId="1" xfId="2" applyNumberFormat="1" applyFont="1" applyFill="1" applyBorder="1"/>
    <xf numFmtId="2" fontId="24" fillId="0" borderId="0" xfId="0" applyNumberFormat="1" applyFont="1"/>
    <xf numFmtId="39" fontId="19" fillId="0" borderId="1" xfId="2" applyNumberFormat="1" applyFont="1" applyBorder="1"/>
    <xf numFmtId="2" fontId="19" fillId="0" borderId="0" xfId="0" applyNumberFormat="1" applyFont="1" applyAlignment="1">
      <alignment wrapText="1"/>
    </xf>
    <xf numFmtId="39" fontId="0" fillId="0" borderId="0" xfId="0" applyNumberFormat="1"/>
    <xf numFmtId="43" fontId="19" fillId="0" borderId="1" xfId="2" applyNumberFormat="1" applyFont="1" applyBorder="1"/>
    <xf numFmtId="165" fontId="19" fillId="0" borderId="0" xfId="2" applyFont="1" applyAlignment="1">
      <alignment wrapText="1"/>
    </xf>
    <xf numFmtId="2" fontId="20" fillId="0" borderId="0" xfId="0" applyNumberFormat="1" applyFont="1"/>
    <xf numFmtId="43" fontId="19" fillId="3" borderId="1" xfId="2" applyNumberFormat="1" applyFont="1" applyFill="1" applyBorder="1"/>
    <xf numFmtId="39" fontId="19" fillId="3" borderId="1" xfId="2" applyNumberFormat="1" applyFont="1" applyFill="1" applyBorder="1"/>
    <xf numFmtId="2" fontId="19" fillId="0" borderId="1" xfId="2" applyNumberFormat="1" applyFont="1" applyBorder="1"/>
    <xf numFmtId="43" fontId="15" fillId="3" borderId="1" xfId="4" applyFont="1" applyFill="1" applyBorder="1" applyAlignment="1">
      <alignment horizontal="left" wrapText="1"/>
    </xf>
    <xf numFmtId="43" fontId="15" fillId="3" borderId="1" xfId="4" applyFont="1" applyFill="1" applyBorder="1" applyAlignment="1">
      <alignment horizontal="right" wrapText="1"/>
    </xf>
    <xf numFmtId="2" fontId="19" fillId="0" borderId="8" xfId="2" applyNumberFormat="1" applyFont="1" applyFill="1" applyBorder="1"/>
    <xf numFmtId="0" fontId="29" fillId="3" borderId="1" xfId="0" applyFont="1" applyFill="1" applyBorder="1" applyAlignment="1">
      <alignment horizontal="left" wrapText="1"/>
    </xf>
    <xf numFmtId="43" fontId="30" fillId="3" borderId="1" xfId="2" applyNumberFormat="1" applyFont="1" applyFill="1" applyBorder="1"/>
    <xf numFmtId="43" fontId="19" fillId="5" borderId="1" xfId="2" applyNumberFormat="1" applyFont="1" applyFill="1" applyBorder="1"/>
    <xf numFmtId="43" fontId="10" fillId="5" borderId="1" xfId="4" applyFont="1" applyFill="1" applyBorder="1" applyAlignment="1">
      <alignment horizontal="right" wrapText="1"/>
    </xf>
    <xf numFmtId="43" fontId="10" fillId="5" borderId="1" xfId="4" applyFont="1" applyFill="1" applyBorder="1" applyAlignment="1">
      <alignment horizontal="left" wrapText="1"/>
    </xf>
    <xf numFmtId="39" fontId="19" fillId="5" borderId="1" xfId="2" applyNumberFormat="1" applyFont="1" applyFill="1" applyBorder="1"/>
  </cellXfs>
  <cellStyles count="5">
    <cellStyle name="Comma" xfId="1" builtinId="3"/>
    <cellStyle name="Comma 10" xfId="4" xr:uid="{DD76F993-2DE3-4093-AB9E-7CF0E1D285DC}"/>
    <cellStyle name="Comma 2 3" xfId="2" xr:uid="{492032AB-E3B2-40DC-9B45-86E9CD7978CD}"/>
    <cellStyle name="Comma 3 2" xfId="3" xr:uid="{F1A9D3D7-71B2-4A38-92A9-1ED912403C7B}"/>
    <cellStyle name="Normal" xfId="0" builtinId="0"/>
  </cellStyles>
  <dxfs count="4">
    <dxf>
      <fill>
        <patternFill>
          <bgColor rgb="FFFB895B"/>
        </patternFill>
      </fill>
    </dxf>
    <dxf>
      <fill>
        <patternFill>
          <bgColor theme="9" tint="0.59996337778862885"/>
        </patternFill>
      </fill>
    </dxf>
    <dxf>
      <fill>
        <patternFill>
          <bgColor rgb="FFFB895B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uft-my.sharepoint.com/personal/account1_kcuft_onmicrosoft_com/Documents/Desktop/common%20folder/OCT%20-2024/DAILY%20WORKING%20SUMMARY/AAKASH/CASH%20TRADE%20PARTY%20LEDGER%20-%20NEW.xlsx" TargetMode="External"/><Relationship Id="rId1" Type="http://schemas.openxmlformats.org/officeDocument/2006/relationships/externalLinkPath" Target="https://kcuft-my.sharepoint.com/personal/account1_kcuft_onmicrosoft_com/Documents/Desktop/common%20folder/OCT%20-2024/DAILY%20WORKING%20SUMMARY/AAKASH/CASH%20TRADE%20PARTY%20LEDGER%20-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MULATIVE CASHFLOW"/>
      <sheetName val="PARTY WISE CUMULATIVE"/>
      <sheetName val="DAILY SUMMARY"/>
      <sheetName val="HASHAM BHAI"/>
      <sheetName val="REHAN BHAI"/>
      <sheetName val="ALOK JI"/>
      <sheetName val="PARTY SUMMARY - 17.02.25"/>
      <sheetName val="PARTY SUMMARY - 18.02.25"/>
      <sheetName val="PARTY SUMMARY - 19.02.25"/>
      <sheetName val="PARTY SUMMARY - 20.02.25"/>
      <sheetName val="PARTY SUMMARY - 21.02.25"/>
      <sheetName val="PARTY SUMMARY - 22.02.25"/>
      <sheetName val="PARTY SUMMARY - 22.02.25_FIN"/>
      <sheetName val="PARTY SUMMARY - 24.02.25"/>
      <sheetName val="Sheet1"/>
      <sheetName val="PARTY SUMMARY - 25.02.25"/>
      <sheetName val="PARTY SUMMARY - 26.02.25"/>
      <sheetName val="PARTY SUMMARY - 27.02.25"/>
      <sheetName val="27.02.25(PRINT)"/>
      <sheetName val="PARTY SUMMARY - 28.02.25"/>
      <sheetName val="28.02.25(PRINT)"/>
      <sheetName val="PARTY SUMMARY - 1.03.25"/>
      <sheetName val="PARTY SUMMARY - 1.03.25 (2)"/>
      <sheetName val="PARTY SUMMARY - 2.03.25"/>
      <sheetName val="PARTY SUMMARY - 4.03.25"/>
      <sheetName val="PRINT - 4.03.25"/>
      <sheetName val="PARTY SUMMARY - 5.03.25"/>
      <sheetName val="PRINT - 5.03.25"/>
      <sheetName val="PARTY SUMMARY - 6.03.25"/>
      <sheetName val="PARTY SUMMARY -07-03-2025"/>
      <sheetName val="print - 6.03.25"/>
      <sheetName val="Sheet2"/>
      <sheetName val="PARTY SUMMARY - 8.03.25"/>
      <sheetName val="PARTY SUMMARY - 10.03.25"/>
      <sheetName val="PRINT - 10.03.25"/>
      <sheetName val="PARTY SUMMARY - 11.03.25 FINAL"/>
      <sheetName val="PARTY SUMMARY - 12.03.25"/>
      <sheetName val="PARTY SUMMARY - 12.03.25 PRINT"/>
      <sheetName val="PARTY SUMMARY - 13.03.25"/>
      <sheetName val="PARTY SUMMARY - 13.03.25 PRINT"/>
      <sheetName val="PARTY SUMMARY - 14.03.25"/>
      <sheetName val="PARTY SUMMARY - 14.03.25 PRINT"/>
      <sheetName val="PARTY SUMMARY - 15.03.25"/>
      <sheetName val="PARTY SUMMARY - 15.03.25 PRINT"/>
      <sheetName val="PARTY SUMMARY - 17.03.25"/>
      <sheetName val="PARTY SUMMARY - 17.03.25 PRINT"/>
      <sheetName val="PARTY SUMMARY - 18.03.25"/>
      <sheetName val="PARTY SUMMARY - 18.03.25 PRINT"/>
      <sheetName val="PARTY SUMMARY - 19.03.25"/>
      <sheetName val="PARTY SUMMARY - 19.03.25 PRINT"/>
      <sheetName val="PARTY SUMMARY - 20.03.25"/>
      <sheetName val="PARTY SUMMARY - 20.03.25 PRINT"/>
      <sheetName val="PARTY SUMMARY - 21.03.25"/>
      <sheetName val="PARTY SUMMARY - 21.03.25 PRINT"/>
      <sheetName val="PARTY SUMMARY - 22.03.25"/>
      <sheetName val="PARTY SUMMARY - 22.03.25 PRINT"/>
      <sheetName val="PARTY SUMMARY - 24.03.25"/>
      <sheetName val="PARTY SUMMARY - 24.03.25 PRINT"/>
      <sheetName val="PARTY SUMMARY - 25.03.25"/>
      <sheetName val="PARTY SUMMARY - 25.03.25 PRINT"/>
      <sheetName val="PARTY SUMMARY - 26.03.25"/>
      <sheetName val="PARTY SUMMARY - 26.03.25 PRINT"/>
      <sheetName val="PARTY SUMMARY - 27.03.25"/>
      <sheetName val="PARTY SUMMARY - 27.03.25 PRINT"/>
      <sheetName val="PARTY SUMMARY - 28.03.25"/>
      <sheetName val="PARTY SUMMARY - 28.03.25 PRINT"/>
      <sheetName val="PARTY SUMMARY - 29.03.25"/>
      <sheetName val="PARTY SUMMARY - 29.03.25 PRINT"/>
      <sheetName val="PARTY SUMMARY - 02.04.25"/>
      <sheetName val="PARTY SUMMARY - 02.04.25 PRINT"/>
      <sheetName val="PARTY SUMMARY - 03.04.25"/>
      <sheetName val="PARTY SUMMARY - 03.04.25 PRINT"/>
      <sheetName val="PARTY SUMMARY - 04.04.25"/>
      <sheetName val="PARTY SUMMARY - 04.04.25 PRINT"/>
      <sheetName val="PARTY SUMMARY - 05.04.25"/>
      <sheetName val="PARTY SUMMARY - 05.04.25 PRINT"/>
      <sheetName val="PARTY SUMMARY - 07.04.25"/>
      <sheetName val="PARTY SUMMARY - 07.04.25 PRINT"/>
      <sheetName val="PARTY SUMMARY - 08.04.25"/>
      <sheetName val="PARTY SUMMARY - 08.04.25 PRINT"/>
      <sheetName val="PARTY SUMMARY - 09.04.25"/>
      <sheetName val="PARTY SUMMARY - 09.04.25 PRINT"/>
      <sheetName val="PARTY SUMMARY - 10.04.25"/>
      <sheetName val="PARTY SUMMARY - 10.04.25 PRINT"/>
      <sheetName val="PARTY SUMMARY - 11.04.25"/>
      <sheetName val="PARTY SUMMARY - 11.04.25 PRINT"/>
      <sheetName val="PARTY SUMMARY - 12.04.25"/>
      <sheetName val="PARTY SUMMARY - 12.04.25 PRINT"/>
      <sheetName val="PARTY SUMMARY - 14.04.25"/>
      <sheetName val="PARTY SUMMARY - 14.04.25 PRINT"/>
      <sheetName val="PARTY SUMMARY - 15.04.25"/>
      <sheetName val="PARTY SUMMARY - 15.04.25 PRINT"/>
      <sheetName val="PARTY SUMMARY - 16.04.25"/>
      <sheetName val="PARTY SUMMARY - 16.04.25 PRINT"/>
      <sheetName val="PARTY SUMMARY - 17.04.25"/>
      <sheetName val="PARTY SUMMARY - 17.04.25 PRINT"/>
      <sheetName val="PARTY SUMMARY - 18.04.25"/>
      <sheetName val="PARTY SUMMARY - 18.04.25 PRINT"/>
      <sheetName val="PARTY SUMMARY - 19.04.25"/>
      <sheetName val="PARTY SUMMARY - 19.04.25 PRINT"/>
      <sheetName val="PARTY SUMMARY - 21.04.25"/>
      <sheetName val="PARTY SUMMARY - 21.04.25 PRINT"/>
      <sheetName val="PARTY SUMMARY - 22.04.25"/>
      <sheetName val="PARTY SUMMARY - 22.04.25 PRINT"/>
      <sheetName val="PARTY SUMMARY - 23.04.25"/>
      <sheetName val="PARTY SUMMARY - 23.04.25 PRINT"/>
      <sheetName val="PARTY SUMMARY - 24.04.25"/>
      <sheetName val="PARTY SUMMARY - 24.04.25 PRINT"/>
      <sheetName val="PARTY SUMMARY - 25.04.25"/>
      <sheetName val="PARTY SUMMARY - 25.04.25 PRINT"/>
      <sheetName val="PARTY SUMMARY - 26.04.25"/>
      <sheetName val="PARTY SUMMARY - 26.04.25 PRINT"/>
      <sheetName val="PARTY SUMMARY - 28.04.25"/>
      <sheetName val="PARTY SUMMARY - 28.04.25 PRINT"/>
      <sheetName val="PARTY SUMMARY - 29.04.25"/>
      <sheetName val="PARTY SUMMARY - 29.04.25 PRINT"/>
      <sheetName val="PARTY SUMMARY - 30.04.25"/>
      <sheetName val="PARTY SUMMARY - 30.04.25 PRINT"/>
      <sheetName val="PARTY SUMMARY - 01.05.25"/>
      <sheetName val="PARTY SUMMARY - 01.05.25 PRINT"/>
      <sheetName val="PARTY SUMMARY - 02.05.25"/>
      <sheetName val="PARTY SUMMARY - 02.05.25 PRINT"/>
      <sheetName val="PARTY SUMMARY - 03.05.25"/>
      <sheetName val="PARTY SUMMARY - 03.05.25 PRINT"/>
      <sheetName val="PARTY SUMMARY - 05.05.25"/>
      <sheetName val="PARTY SUMMARY - 05.05.25 PRINT"/>
      <sheetName val="PARTY SUMMARY - 06.05.25"/>
      <sheetName val="PARTY SUMMARY - 06.05.25 PRINT"/>
      <sheetName val="PARTY SUMMARY - 07.05.25"/>
      <sheetName val="PARTY SUMMARY - 07.05.25 PRINT"/>
      <sheetName val="PARTY SUMMARY - 08.05.25"/>
      <sheetName val="PARTY SUMMARY - 08.05.25 PRINT"/>
      <sheetName val="PARTY SUMMARY - 09.05.25"/>
      <sheetName val="PARTY SUMMARY - 09.05.25 PRINT"/>
      <sheetName val="PARTY SUMMARY - 10.05.25"/>
      <sheetName val="PARTY SUMMARY - 10.05.25 PRINT"/>
      <sheetName val="PARTY SUMMARY - 12.05.25"/>
      <sheetName val="PARTY SUMMARY - 12.05.25 PRINT"/>
      <sheetName val="PARTY SUMMARY - 13.05.25"/>
      <sheetName val="PARTY SUMMARY - 13.05.25 PRINT"/>
      <sheetName val="PARTY SUMMARY - 14.05.25"/>
      <sheetName val="PARTY SUMMARY - 14.05.25 PRINT"/>
      <sheetName val="PARTY SUMMARY - 15.05.25"/>
      <sheetName val="PARTY SUMMARY - 15.05.25 PRINT"/>
      <sheetName val="PARTY SUMMARY - 15.05.25 FINAL "/>
      <sheetName val="PARTY SUMMARY - 16.05.25"/>
      <sheetName val="PARTY SUMMARY - 16.05.25( FINAL"/>
      <sheetName val="PARTY SUMMARY - 17.05.25 "/>
      <sheetName val="PARTY SUMMARY - 17.05.25  FINAL"/>
      <sheetName val="PARTY SUMMARY - 19.05.25 "/>
      <sheetName val="PARTY SUMMARY - 19.05.25 FINAL "/>
      <sheetName val="PARTY SUMMARY - 20.05.25 "/>
      <sheetName val="PARTY SUMMARY - 20.05.25 FINAL"/>
      <sheetName val="PARTY SUMMARY - 21.05.25 "/>
      <sheetName val="PARTY SUMMARY - 21.05.25 FINAL"/>
      <sheetName val="PARTY SUMMARY - 22.05.25 "/>
      <sheetName val="PARTY SUMMARY - 22.05.25  FINAL"/>
      <sheetName val="PARTY SUMMARY - 23.05.25  "/>
      <sheetName val="PARTY SUMMARY - 23.05.25 FINAL"/>
      <sheetName val="PARTY SUMMARY - 24.05.25  "/>
      <sheetName val="PARTY SUMMARY - 24.05.25 FINAL"/>
      <sheetName val="PARTY SUMMARY - 26.05.25  FINAL"/>
      <sheetName val="PARTY SUMMARY - 27.05.25  "/>
      <sheetName val="PARTY SUMMARY - 27.05.25 FINAL"/>
      <sheetName val="PARTY SUMMARY - 28.05.25 "/>
      <sheetName val="PARTY SUMMARY - 28.05.25  FINAL"/>
      <sheetName val="PARTY SUMMARY - 29.05.25  "/>
      <sheetName val="PARTY SUMMARY - 29.05.25 FINAL"/>
      <sheetName val="PARTY SUMMARY - 30.05.25 "/>
      <sheetName val="PARTY SUMMARY - 30.05.25  FINAL"/>
      <sheetName val="PARTY SUMMARY - 31.05.25 "/>
      <sheetName val="PARTY SUMMARY - 31.05.25 FINAL"/>
      <sheetName val="PARTY SUMMARY - 02.06.25 "/>
      <sheetName val="PARTY SUMMARY - 02.06.25 FINAL"/>
      <sheetName val="PARTY SUMMARY - 03.06.25 "/>
      <sheetName val="PARTY SUMMARY - 03.06.25  FINAL"/>
      <sheetName val="PARTY SUMMARY - 04.06.25 "/>
      <sheetName val="PARTY SUMMARY - 04.06.25 FINAL"/>
      <sheetName val="PARTY SUMMARY - 09.06.25 "/>
      <sheetName val="PARTY SUMMARY - 09.06.25 FINAL"/>
      <sheetName val="PARTY SUMMARY - 10.06.25  "/>
      <sheetName val="PARTY SUMMARY - 10.06.25  FINAL"/>
      <sheetName val="PARTY SUMMARY - 11.06.25 "/>
      <sheetName val="PARTY SUMMARY - 11.06.25  FINAL"/>
      <sheetName val="PARTY SUMMARY - 12.06.25 "/>
      <sheetName val="PARTY SUMMARY - 12.06.25 FINAL"/>
      <sheetName val="PARTY SUMMARY - 13.06.25  "/>
      <sheetName val="PARTY SUMMARY - 13.06.25  FINAL"/>
      <sheetName val="PARTY SUMMARY - 14.06.25 "/>
      <sheetName val="PARTY SUMMARY - 14.06.25  FINAL"/>
      <sheetName val="PARTY SUMMARY - 16.06.25 "/>
      <sheetName val="PARTY SUMMARY - 16.06.25 FINAL "/>
      <sheetName val="PARTY SUMMARY - 17.06.25  "/>
      <sheetName val="PARTY SUMMARY - 17.06.25 FINAL"/>
      <sheetName val="PARTY SUMMARY - 18.06.25"/>
      <sheetName val="PARTY SUMMARY - 18.06.25 FINAL "/>
      <sheetName val="PARTY SUMMARY - 19.06.25"/>
      <sheetName val="PARTY SUMMARY - 19.06.25 FINAL"/>
      <sheetName val="PARTY SUMMARY - 20.06.25 "/>
      <sheetName val="PARTY SUMMARY - 20.06.25 FINAL "/>
      <sheetName val="PARTY SUMMARY - 21.06.25 "/>
      <sheetName val="PARTY SUMMARY - 21.06.25  FINAL"/>
      <sheetName val="PARTY SUMMARY - 23.06.25"/>
      <sheetName val="PARTY SUMMARY - 23.06.25 FINAL"/>
      <sheetName val="PARTY SUMMARY - 24.06.25 "/>
      <sheetName val="PARTY SUMMARY - 24.06.25  FINAL"/>
      <sheetName val="PARTY SUMMARY - 25.06.25 "/>
      <sheetName val="PARTY SUMMARY - 25.06.25  FINAL"/>
      <sheetName val="PARTY SUMMARY - 26.06.25 "/>
      <sheetName val="PARTY SUMMARY - 26.06.25  FINAL"/>
      <sheetName val="PARTY SUMMARY -30.06.25"/>
      <sheetName val="PARTY SUMMARY -30.06.25 FINAL"/>
      <sheetName val="PARTY SUMMARY -01.07.25"/>
      <sheetName val="PARTY SUMMARY -01.07.25 FINAL "/>
      <sheetName val="PARTY SUMMARY -02.07.25"/>
      <sheetName val="PARTY SUMMARY -02.07.25 FINAL"/>
      <sheetName val="PARTY SUMMARY -03.07.25 "/>
      <sheetName val="PARTY SUMMARY -03.07.25  FINAL"/>
      <sheetName val="PARTY SUMMARY -04.07.25 "/>
      <sheetName val="PARTY SUMMARY -04.07.25  FINAL "/>
      <sheetName val="PARTY SUMMARY -05.07.25  "/>
      <sheetName val="PARTY SUMMARY -05.07.25  FINAL "/>
      <sheetName val="PARTY SUMMARY -07.07.25   "/>
      <sheetName val="PARTY SUMMARY -07.07.25  FINAL"/>
      <sheetName val="PARTY SUMMARY -08.07.25  "/>
      <sheetName val="PARTY SUMMARY -08.07.25   FINAL"/>
      <sheetName val="PARTY SUMMARY -09.07.25 "/>
      <sheetName val="PARTY SUMMARY -10.07.25  (2)"/>
      <sheetName val="PARTY SUMMARY -11.07.25  (3)"/>
      <sheetName val="PARTY SUMMARY -12.07.25  "/>
      <sheetName val="PARTY SUMMARY -13.07.25   (2)"/>
      <sheetName val="PARTY SUMMARY -14.07.25  "/>
      <sheetName val="PARTY SUMMARY -16.07.25   (2)"/>
      <sheetName val="PARTY SUMMARY -17.07.25  "/>
      <sheetName val="PARTY SUMMARY -18.07.25  "/>
      <sheetName val="PARTY SUMMARY -19.07.25   (2)"/>
      <sheetName val="PARTY SUMMARY -21.07.25   (3)"/>
      <sheetName val="PARTY SUMMARY -22.07.25   (4)"/>
      <sheetName val="PARTY SUMMARY -23.07.25   (5)"/>
      <sheetName val="PARTY SUMMARY -24.07.25   (6)"/>
      <sheetName val="PARTY SUMMARY -25.07.25  "/>
      <sheetName val="PARTY SUMMARY -26.07.25   (2)"/>
      <sheetName val="PARTY SUMMARY -27.07.25   (3)"/>
      <sheetName val="PARTY SUMMARY -29.07.25   (4)"/>
      <sheetName val="PARTY SUMMARY -30.07.25   (5)"/>
      <sheetName val="PARTY SUMMARY -31.07.25   (6)"/>
      <sheetName val="PARTY SUMMARY -01.08.25   (7)"/>
      <sheetName val="PARTY SUMMARY -02.08.25   (8)"/>
      <sheetName val="PARTY SUMMARY -03.08.25   (9)"/>
      <sheetName val="PARTY SUMMARY -05.08.25   (10)"/>
      <sheetName val="PARTY SUMMARY -06.08.25   (11)"/>
      <sheetName val="PARTY SUMMARY -07.08.25   (12)"/>
      <sheetName val="PARTY SUMMARY -08.08.25   (13)"/>
      <sheetName val="PARTY SUMMARY -09.08.25   (14)"/>
      <sheetName val="PARTY SUMMARY -11.08.25   (15)"/>
      <sheetName val="PARTY SUMMARY -12.08.25   (16)"/>
      <sheetName val="PARTY SUMMARY -13.08.25   (17)"/>
      <sheetName val="PARTY SUMMARY -14.08.25   (18)"/>
      <sheetName val="PARTY SUMMARY -15.08.25   (19)"/>
      <sheetName val="PARTY SUMMARY -16.08.25   (20)"/>
      <sheetName val="PARTY SUMMARY -18.08.25   (21)"/>
      <sheetName val="PARTY SUMMARY -19.08.25   (22)"/>
      <sheetName val="PARTY SUMMARY -20.08.25   (23)"/>
      <sheetName val="PARTY SUMMARY -21.08.25   (24)"/>
      <sheetName val="PARTY SUMMARY -22.08.25   (25)"/>
      <sheetName val="PARTY SUMMARY -23.08.25   (26)"/>
      <sheetName val="PARTY SUMMARY -25.08.25   (27)"/>
      <sheetName val="PARTY SUMMARY -26.08.25   (28)"/>
      <sheetName val="PARTY SUMMARY -27.08.25   ( PAT"/>
      <sheetName val="PARTY SUMMARY -27.08.25 F  (29)"/>
      <sheetName val="PARTY SUMMARY -28.08.25 PA (30)"/>
      <sheetName val="PARTY SUMMARY -28.08.25 F  (30)"/>
      <sheetName val="PARTY SUMMARY -29.08.25   (31)"/>
      <sheetName val="PARTY SUMMARY 18.2.26 F (174)"/>
      <sheetName val="PARTY SUMMARY -29.08.25 F  (31)"/>
      <sheetName val="PARTY SUMMARY -30.08.25   (32)"/>
      <sheetName val="PARTY SUMMARY -30.08.25 F  (32)"/>
      <sheetName val="PARTY SUMMARY -01.09.25   (33)"/>
      <sheetName val="PARTY SUMMARY -01.09.25 F  (33)"/>
      <sheetName val="PARTY SUMMARY -02.09.25 F  (34)"/>
      <sheetName val="PARTY SUMMARY -03.09.25 F  (35)"/>
      <sheetName val="PARTY SUMMARY -04.09.25 F  (36)"/>
      <sheetName val="PARTY SUMMARY -08.09.25 F  (37)"/>
      <sheetName val="PARTY SUMMARY -09.09.25 F  (38)"/>
      <sheetName val="PARTY SUMMARY -10.09.25 F  (39)"/>
      <sheetName val="PARTY SUMMARY -11.09.25 F  (40)"/>
      <sheetName val="PARTY SUMMARY -12.09.25 F  (41)"/>
      <sheetName val="PARTY SUMMARY -13.09.25 F  (42)"/>
      <sheetName val="PARTY SUMMARY -15.09.25 F  (43)"/>
      <sheetName val="PARTY SUMMARY -16.09.25 F  (44)"/>
      <sheetName val="PARTY SUMMARY -17.09.25 F  (45)"/>
      <sheetName val="PARTY SUMMARY -18.09.25 F  (46)"/>
      <sheetName val="PARTY SUMMARY -19.09.25 F  (47)"/>
      <sheetName val="PARTY SUMMARY -20.09.25 F  (48)"/>
      <sheetName val="PARTY SUMMARY -22.09.25 F  (49)"/>
      <sheetName val="PARTY SUMMARY -23.09.25 F  (50)"/>
      <sheetName val="PARTY SUMMARY -24.09.25 F  (51)"/>
      <sheetName val="PARTY SUMMARY -25.09.25 F  (52)"/>
      <sheetName val="PARTY SUMMARY -26 09.25 F  (53)"/>
      <sheetName val="PARTY SUMMARY -27 09.25 F  (54)"/>
      <sheetName val="PARTY SUMMARY -29 09.25 F  (55)"/>
      <sheetName val="PARTY SUMMARY -30 09.25 F  (56)"/>
      <sheetName val="PARTY SUMMARY -01 10.25 F  (57)"/>
      <sheetName val="PARTY SUMMARY -02 10.25 F  (58)"/>
      <sheetName val="PARTY SUMMARY -03 10.25 F  (59)"/>
      <sheetName val="PARTY SUMMARY -04 10.25 F  (60)"/>
      <sheetName val="PARTY SUMMARY -06 10.25 F  (61)"/>
      <sheetName val="PARTY SUMMARY -07 10.25 F  (62)"/>
      <sheetName val="PARTY SUMMARY -08 10.25 F  (63)"/>
      <sheetName val="PARTY SUMMARY -09 10.25 F  (64)"/>
      <sheetName val="PARTY SUMMARY -10 10.25 F  (65)"/>
      <sheetName val="PARTY SUMMARY -11 10.25 F  (66)"/>
      <sheetName val="PARTY SUMMARY -13 10.25 F  (67)"/>
      <sheetName val="PARTY SUMMARY -14.10.25 F  (68)"/>
      <sheetName val="PARTY SUMMARY -15.10.25 F  (69)"/>
      <sheetName val="PARTY SUMMARY -16.10.25 F  (70)"/>
      <sheetName val="PARTY SUMMARY -17.10.25 F  (71)"/>
      <sheetName val="PARTY SUMMARY -18.10.25 F  (72)"/>
      <sheetName val="PARTY SUMMARY -21.10.25 F  (73)"/>
      <sheetName val="PARTY SUMMARY -22.10.25 F  (74)"/>
      <sheetName val="PARTY SUMMARY -23.10.25 F  (75)"/>
      <sheetName val="PARTY SUMMARY -24.10.25 F  (76)"/>
      <sheetName val="PARTY SUMMARY -25.10.25 F  (77)"/>
      <sheetName val="PARTY SUMMARY -27.10.25 F  (78)"/>
      <sheetName val="PARTY SUMMARY -28.10.25 F  (79)"/>
      <sheetName val="PARTY SUMMARY -29.10.25 F  (80)"/>
      <sheetName val="PARTY SUMMARY -30.10.25 F  (81)"/>
      <sheetName val="PARTY SUMMARY -31.10.25 F  (82)"/>
      <sheetName val="PARTY SUMMARY -01.11.25 F  (83)"/>
      <sheetName val="PARTY SUMMARY -03.11.25 F  (84)"/>
      <sheetName val="PARTY SUMMARY -04.11.25 F  (85)"/>
      <sheetName val="PARTY SUMMARY -05.11.25 F  (86)"/>
      <sheetName val="PARTY SUMMARY -06.11.25 F  (87)"/>
      <sheetName val="PARTY SUMMARY -07.11.25 F  (88)"/>
      <sheetName val="PARTY SUMMARY -08.11.25 F  (89)"/>
      <sheetName val="PARTY SUMMARY -10.11.25 F  (90)"/>
      <sheetName val="PARTY SUMMARY -11.11.25 F  (91)"/>
      <sheetName val="PARTY SUMMARY -12.11.25 F  (92)"/>
      <sheetName val="PARTY SUMMARY -13.11.25 F  (93)"/>
      <sheetName val="PARTY SUMMARY -14.11.25 F  (94)"/>
      <sheetName val="PARTY SUMMARY -15.11.25 F  (95)"/>
      <sheetName val="PARTY SUMMARY -17.11.25 F  (96)"/>
      <sheetName val="PARTY SUMMARY -18.11.25 F  (97)"/>
      <sheetName val="PARTY SUMMARY -19.11.25 F  (98)"/>
      <sheetName val="PARTY SUMMARY -20.11.25 F  (99)"/>
      <sheetName val="PARTY SUMMARY -21.11.25 F (100)"/>
      <sheetName val="PARTY SUMMARY -22.11.25 F (101)"/>
      <sheetName val="PARTY SUMMARY -24.11.25 F (102)"/>
      <sheetName val="PARTY SUMMARY -25.11.25 F (103)"/>
      <sheetName val="PARTY SUMMARY -26.11.25 F (104)"/>
      <sheetName val="PARTY SUMMARY -27.11.25 F (105)"/>
      <sheetName val="PARTY SUMMARY -28.11.25 F (106)"/>
      <sheetName val="PARTY SUMMARY -03.12.25 F (107)"/>
      <sheetName val="PARTY SUMMARY -04.12.25 F (108)"/>
      <sheetName val="PARTY SUMMARY -05.12.25 F (109)"/>
      <sheetName val="PARTY SUMMARY -06.12.25 F (110)"/>
      <sheetName val="PARTY SUMMARY -08.12.25 F (111)"/>
      <sheetName val="PARTY SUMMARY -09.12.25 F (112)"/>
      <sheetName val="PARTY SUMMARY -10.12.25 F (113)"/>
      <sheetName val="PARTY SUMMARY -11.12.25 F (114)"/>
      <sheetName val="PARTY SUMMARY -12.12.25 F (115)"/>
      <sheetName val="PARTY SUMMARY -13.12.25 F (116)"/>
      <sheetName val="PARTY SUMMARY -15.12.25 F (117)"/>
      <sheetName val="PARTY SUMMARY -16.12.25 F (118)"/>
      <sheetName val="PARTY SUMMARY -17.12.25 F (119)"/>
      <sheetName val="PARTY SUMMARY -18.12.25 F (120)"/>
      <sheetName val="PARTY SUMMARY -19.12.25 F (121)"/>
      <sheetName val="PARTY SUMMARY -20.12.25 F (122)"/>
      <sheetName val="PARTY SUMMARY -21.12.25 F (123)"/>
      <sheetName val="PARTY SUMMARY -22.12.25 F (124)"/>
      <sheetName val="PARTY SUMMARY -24.12.25 F (125)"/>
      <sheetName val="PARTY SUMMARY -24.12.25 F (126)"/>
      <sheetName val="PARTY SUMMARY -25.12.25 F (127)"/>
      <sheetName val="PARTY SUMMARY -26.12.25 F (128)"/>
      <sheetName val="PARTY SUMMARY -27.12.25 F (129)"/>
      <sheetName val="PARTY SUMMARY -29.12.25 F (130)"/>
      <sheetName val="PARTY SUMMARY -30.12.25 F (131)"/>
      <sheetName val="PARTY SUMMARY -30.12.25 F (132)"/>
      <sheetName val="PARTY SUMMARY -02.1.26 F (133)"/>
      <sheetName val="PARTY SUMMARY -03.1.26 F (134)"/>
      <sheetName val="PARTY SUMMARY -05.1.26 F (135)"/>
      <sheetName val="PARTY SUMMARY -06.1.26 F (136)"/>
      <sheetName val="PARTY SUMMARY -07.1.26 F (137)"/>
      <sheetName val="PARTY SUMMARY -08.1.26 F (138)"/>
      <sheetName val="PARTY SUMMARY -09.1.26 F (139)"/>
      <sheetName val="PARTY SUMMARY -10.1.26 F (140)"/>
      <sheetName val="PARTY SUMMARY -12.1.26 F (141)"/>
      <sheetName val="PARTY SUMMARY -13.1.26 F (142)"/>
      <sheetName val="PARTY SUMMARY -14.1.26 F (143)"/>
      <sheetName val="PARTY SUMMARY -15.1.26 F (144)"/>
      <sheetName val="PARTY SUMMARY -16.1.26 F (145)"/>
      <sheetName val="PARTY SUMMARY -17.1.26 F (146)"/>
      <sheetName val="PARTY SUMMARY -18.1.26 F (147)"/>
      <sheetName val="PARTY SUMMARY -20.1.26 F (148)"/>
      <sheetName val="PARTY SUMMARY -21.1.26 F (149)"/>
      <sheetName val="PARTY SUMMARY -22.1.26 F (150)"/>
      <sheetName val="PARTY SUMMARY -23.1.26 F (151)"/>
      <sheetName val="PARTY SUMMARY -24.1.26 F (152)"/>
      <sheetName val="PARTY SUMMARY -25.1.26 F (153)"/>
      <sheetName val="PARTY SUMMARY -27.1.26 F (154)"/>
      <sheetName val="PARTY SUMMARY -28.1.26 F (155)"/>
      <sheetName val="PARTY SUMMARY -29.1.26 F (156)"/>
      <sheetName val="PARTY SUMMARY -30.1.26 F (157)"/>
      <sheetName val="PARTY SUMMARY -31.1.26 F (158)"/>
      <sheetName val="PARTY SUMMARY 02.1.26 F (159)"/>
      <sheetName val="PARTY SUMMARY 03.1.26 F (160)"/>
      <sheetName val="PARTY SUMMARY 04.1.26 F (161)"/>
      <sheetName val="PARTY SUMMARY 05.1.26 F (162)"/>
      <sheetName val="PARTY SUMMARY 06.1.26 F (163)"/>
      <sheetName val="PARTY SUMMARY 07.1.26 F (164)"/>
      <sheetName val="PARTY SUMMARY 08.1.26 F (165)"/>
      <sheetName val="PARTY SUMMARY 10.2.26 F (166)"/>
      <sheetName val="PARTY SUMMARY 11.2.26 F (167)"/>
      <sheetName val="PARTY SUMMARY 12.2.26 F (168)"/>
      <sheetName val="PARTY SUMMARY 13.2.26 F (169)"/>
      <sheetName val="PARTY SUMMARY 14.2.26 F (170)"/>
      <sheetName val="PARTY SUMMARY 16.2.26 F (171)"/>
      <sheetName val="PARTY SUMMARY 17.2.26 F (172)"/>
      <sheetName val="PARTY SUMMARY 18.2.26 F (173)"/>
      <sheetName val="PARTY SUMMARY 19.2.26 F ( (175)"/>
      <sheetName val="PARTY SUMMARY 20.2.26 F ( (176)"/>
      <sheetName val="PARTY SUMMARY 21.2.26 F ( (178)"/>
      <sheetName val="PARTY SUMMARY 23.2.26 F ( (177)"/>
      <sheetName val="PARTY SUMMARY 24.2.26 F ( (178)"/>
      <sheetName val="PARTY SUMMARY 25.2.26 F ( (179)"/>
      <sheetName val="PARTY SUMMARY 26.2.26 F ( (180)"/>
      <sheetName val="PARTY SUMMARY 27.2.26 F ( (181)"/>
      <sheetName val="PARTY SUMMARY 28.2.26 F ( (182)"/>
      <sheetName val="PARTY SUMMARY 02.03.26  ( (183)"/>
      <sheetName val="PARTY SUMMARY 03.03.26  ( (184)"/>
      <sheetName val="PARTY SUMMARY 04.03.26  ( (185)"/>
      <sheetName val="PARTY SUMMARY 05.03.26  ( (186)"/>
      <sheetName val="PARTY SUMMARY 06.03.26  ( (187)"/>
      <sheetName val="PARTY SUMMARY 07.03.26  ( (188)"/>
      <sheetName val="PARTY SUMMARY 09.03.26  ( (189)"/>
      <sheetName val="PARTY SUMMARY 10.03.26  ( (190)"/>
      <sheetName val="PARTY SUMMARY 11.03.26  ( (191)"/>
      <sheetName val="PARTY SUMMARY 12.03.26  ( (192)"/>
      <sheetName val="PARTY SUMMARY 13.03.26  ( (193)"/>
      <sheetName val="PARTY SUMMARY 14.03.26  ( (194)"/>
      <sheetName val="PARTY SUMMARY 16.03.26  ( (195)"/>
      <sheetName val="PARTY SUMMARY 17.03.26  ( (196)"/>
      <sheetName val="PARTY SUMMARY 18.03.26  ( (197)"/>
      <sheetName val="PARTY SUMMARY 23.03.26  ( (198)"/>
      <sheetName val="PARTY SUMMARY 24.03.26  ( (199)"/>
      <sheetName val="PARTY SUMMARY 25.03.26  ( (200)"/>
      <sheetName val="PARTY SUMMARY 26.03.26  ( (201)"/>
      <sheetName val="PARTY SUMMARY 27.03.26  ( (202)"/>
      <sheetName val="PARTY SUMMARY 27.03.26  ( (203)"/>
      <sheetName val="PARTY SUMMARY 28.03.26  ( (204)"/>
      <sheetName val="PARTY SUMMARY 30.03.26  ( (205)"/>
      <sheetName val="PARTY SUMMARY 31.03.26  ( (206)"/>
      <sheetName val="PARTY SUMMARY 01.04.26 ( (207)"/>
      <sheetName val="PARTY SUMMARY 02.04.26 ( (208)"/>
      <sheetName val="PARTY SUMMARY 03.04.26 ( (209)"/>
      <sheetName val="PARTY SUMMARY 04.04.26 ( (210)"/>
      <sheetName val="PARTY SUMMARY 06.04.26 ( (211)"/>
      <sheetName val="PARTY SUMMARY 07.04.26 ( (212)"/>
      <sheetName val="PARTY SUMMARY 08.04.26 ( (213)"/>
      <sheetName val="PARTY SUMMARY 09.04.26 ( (214)"/>
      <sheetName val="PARTY SUMMARY10.04.26 ( (215)"/>
      <sheetName val="PARTY SUMMARY11.04.26 ( (216)"/>
      <sheetName val="PARTY SUMMARY13.04.26 ( (217)"/>
      <sheetName val="PARTY SUMMARY 14.04.26 ( (218)"/>
      <sheetName val="PARTY SUMMARY 15.04.26 ( (219)"/>
      <sheetName val="PARTY SUMMARY 16.04.26 ( (220)"/>
      <sheetName val="PARTY SUMMARY 17.04.26 ( (221)"/>
      <sheetName val="PARTY SUMMARY 18.04.26 ( (222)"/>
      <sheetName val="PARTY SUMMARY 20.04.26 ( (223)"/>
      <sheetName val="PARTY SUMMARY 21.04.26 ( (224)"/>
      <sheetName val="PARTY SUMMARY 22.04.26 ( (225)"/>
      <sheetName val="PARTY SUMMARY 23.04.26 ( (226)"/>
      <sheetName val="PARTY SUMMARY 24.04.26 ( (227)"/>
      <sheetName val="PARTY SUMMARY 25.04.26 ( (228)"/>
      <sheetName val="PARTY SUMMARY 27.04.26 ( (229)"/>
      <sheetName val="PARTY SUMMARY 28.04.26 ( (230)"/>
      <sheetName val="PARTY SUMMARY 29.04.26 ( (231)"/>
      <sheetName val="PARTY SUMMARY 30.04.26 ( (232)"/>
      <sheetName val="PARTY SUMMARY 01.05.26 ( (233)"/>
      <sheetName val="PARTY SUMMARY 02.05.26 ( (234)"/>
      <sheetName val="PARTY SUMMARY 04.05.26 ( (235)"/>
      <sheetName val="PARTY SUMMARY 05.05.26 ( (23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38">
          <cell r="N38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6">
          <cell r="N6">
            <v>0</v>
          </cell>
          <cell r="O6">
            <v>-537611.27186716162</v>
          </cell>
        </row>
        <row r="7">
          <cell r="N7">
            <v>-1259300.8067063487</v>
          </cell>
          <cell r="O7">
            <v>0</v>
          </cell>
        </row>
        <row r="8">
          <cell r="N8">
            <v>82275.839999999967</v>
          </cell>
          <cell r="O8">
            <v>0</v>
          </cell>
        </row>
        <row r="9">
          <cell r="N9">
            <v>253400</v>
          </cell>
        </row>
        <row r="10">
          <cell r="N10">
            <v>110879.34551716573</v>
          </cell>
          <cell r="O10">
            <v>0</v>
          </cell>
        </row>
        <row r="11">
          <cell r="N11">
            <v>149155.85384615383</v>
          </cell>
        </row>
        <row r="12">
          <cell r="N12">
            <v>-4.7293724492192268E-11</v>
          </cell>
        </row>
        <row r="13">
          <cell r="N13">
            <v>51383.399209486168</v>
          </cell>
        </row>
        <row r="14">
          <cell r="N14">
            <v>0</v>
          </cell>
          <cell r="O14">
            <v>-189789.29898203592</v>
          </cell>
        </row>
        <row r="15">
          <cell r="N15">
            <v>867647.72105058376</v>
          </cell>
          <cell r="O15">
            <v>0</v>
          </cell>
        </row>
        <row r="16">
          <cell r="N16">
            <v>761498.47</v>
          </cell>
        </row>
        <row r="17">
          <cell r="N17">
            <v>5790.1300000000047</v>
          </cell>
        </row>
        <row r="18">
          <cell r="N18">
            <v>6380.8699999999953</v>
          </cell>
        </row>
        <row r="19">
          <cell r="N19">
            <v>21930</v>
          </cell>
          <cell r="O19">
            <v>0</v>
          </cell>
        </row>
        <row r="20">
          <cell r="N20">
            <v>81605.5756728329</v>
          </cell>
          <cell r="O20">
            <v>0</v>
          </cell>
        </row>
        <row r="21">
          <cell r="N21">
            <v>-1072806.4689113593</v>
          </cell>
        </row>
        <row r="22">
          <cell r="N22">
            <v>-401615.93648085138</v>
          </cell>
        </row>
        <row r="23">
          <cell r="N23">
            <v>-293188.41999999993</v>
          </cell>
        </row>
        <row r="24">
          <cell r="N24">
            <v>5300</v>
          </cell>
        </row>
        <row r="25">
          <cell r="N25">
            <v>-214786.53999999986</v>
          </cell>
        </row>
        <row r="26">
          <cell r="N26">
            <v>4617.3773000001092</v>
          </cell>
        </row>
        <row r="27">
          <cell r="N27">
            <v>-735174.54</v>
          </cell>
        </row>
        <row r="28">
          <cell r="N28">
            <v>5000</v>
          </cell>
        </row>
        <row r="29">
          <cell r="N29">
            <v>3000</v>
          </cell>
        </row>
        <row r="30">
          <cell r="N30">
            <v>-54968.25</v>
          </cell>
        </row>
        <row r="31">
          <cell r="N31">
            <v>-1486179.7700000003</v>
          </cell>
        </row>
        <row r="32">
          <cell r="N32">
            <v>67598</v>
          </cell>
        </row>
        <row r="34">
          <cell r="N34">
            <v>22450</v>
          </cell>
        </row>
        <row r="35">
          <cell r="N35">
            <v>-22</v>
          </cell>
        </row>
        <row r="36">
          <cell r="N36">
            <v>-1400</v>
          </cell>
        </row>
        <row r="37">
          <cell r="N37">
            <v>-140000</v>
          </cell>
        </row>
        <row r="38">
          <cell r="N38">
            <v>117205.97999999998</v>
          </cell>
        </row>
      </sheetData>
      <sheetData sheetId="48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A91B-0F68-4577-8D25-64983A0771BC}">
  <dimension ref="A1:L1048557"/>
  <sheetViews>
    <sheetView topLeftCell="A36" zoomScale="62" zoomScaleNormal="62" workbookViewId="0">
      <selection sqref="A1:XFD1048576"/>
    </sheetView>
  </sheetViews>
  <sheetFormatPr defaultRowHeight="15" x14ac:dyDescent="0.25"/>
  <cols>
    <col min="1" max="1" width="20.28515625" customWidth="1"/>
    <col min="2" max="2" width="18.5703125" bestFit="1" customWidth="1"/>
    <col min="3" max="3" width="160.42578125" customWidth="1"/>
    <col min="4" max="4" width="27.28515625" customWidth="1"/>
    <col min="5" max="5" width="28.140625" customWidth="1"/>
    <col min="6" max="6" width="30" customWidth="1"/>
    <col min="7" max="7" width="24.42578125" bestFit="1" customWidth="1"/>
    <col min="8" max="8" width="42.85546875" customWidth="1"/>
    <col min="9" max="9" width="21.7109375" customWidth="1"/>
    <col min="10" max="10" width="27.28515625" bestFit="1" customWidth="1"/>
    <col min="12" max="12" width="27.28515625" bestFit="1" customWidth="1"/>
  </cols>
  <sheetData>
    <row r="1" spans="1:10" ht="23.25" x14ac:dyDescent="0.35">
      <c r="A1" s="1">
        <v>46147</v>
      </c>
      <c r="B1" s="2"/>
      <c r="C1" s="2"/>
      <c r="D1" s="2"/>
      <c r="E1" s="3"/>
      <c r="F1" s="3"/>
      <c r="G1" s="2"/>
      <c r="H1" s="2"/>
    </row>
    <row r="2" spans="1:10" ht="32.25" customHeight="1" x14ac:dyDescent="0.5">
      <c r="A2" s="4"/>
      <c r="B2" s="5" t="str">
        <f>"CASHFLOW AS OF"&amp;" " &amp;TEXT(A1,"dd/mm/yyyy")</f>
        <v>CASHFLOW AS OF 05/05/2026</v>
      </c>
      <c r="C2" s="5"/>
      <c r="D2" s="5"/>
      <c r="E2" s="5"/>
      <c r="F2" s="5"/>
      <c r="G2" s="5"/>
      <c r="H2" s="5"/>
    </row>
    <row r="3" spans="1:10" ht="15" customHeight="1" x14ac:dyDescent="0.3">
      <c r="A3" s="4"/>
      <c r="B3" s="4"/>
      <c r="C3" s="4"/>
      <c r="D3" s="4"/>
      <c r="E3" s="4"/>
      <c r="F3" s="4"/>
      <c r="G3" s="4"/>
      <c r="H3" s="4"/>
    </row>
    <row r="4" spans="1:10" ht="26.25" x14ac:dyDescent="0.4">
      <c r="A4" s="4"/>
      <c r="B4" s="6" t="s">
        <v>0</v>
      </c>
      <c r="C4" s="6" t="s">
        <v>1</v>
      </c>
      <c r="D4" s="7">
        <v>1459161.72</v>
      </c>
      <c r="E4" s="7">
        <v>3178.08</v>
      </c>
      <c r="F4" s="6"/>
      <c r="G4" s="6"/>
      <c r="H4" s="6"/>
    </row>
    <row r="5" spans="1:10" ht="26.25" x14ac:dyDescent="0.4">
      <c r="A5" s="4"/>
      <c r="B5" s="6"/>
      <c r="C5" s="6" t="s">
        <v>2</v>
      </c>
      <c r="D5" s="7">
        <v>71406.83</v>
      </c>
      <c r="E5" s="7">
        <f>21292-179.09</f>
        <v>21112.91</v>
      </c>
      <c r="F5" s="8"/>
      <c r="G5" s="6"/>
      <c r="H5" s="6"/>
    </row>
    <row r="6" spans="1:10" ht="26.25" x14ac:dyDescent="0.4">
      <c r="A6" s="4"/>
      <c r="B6" s="6"/>
      <c r="C6" s="6" t="s">
        <v>3</v>
      </c>
      <c r="D6" s="7">
        <f>82001.26+97700-97520+14500-15468.74-52250+16000-16000+8300+19800-21000-8250+663700-100000+331850-764900-100000-29000+31500-15468.74-15750+106900-106720+50000-49000+109000-92000</f>
        <v>47923.780000000028</v>
      </c>
      <c r="E6" s="7">
        <v>375.59</v>
      </c>
      <c r="F6" s="9"/>
      <c r="G6" s="9"/>
      <c r="H6" s="10"/>
    </row>
    <row r="7" spans="1:10" ht="26.25" x14ac:dyDescent="0.4">
      <c r="A7" s="4"/>
      <c r="B7" s="6"/>
      <c r="C7" s="6" t="s">
        <v>4</v>
      </c>
      <c r="D7" s="7">
        <v>16516.97</v>
      </c>
      <c r="E7" s="7" t="s">
        <v>5</v>
      </c>
      <c r="F7" s="6"/>
      <c r="G7" s="6"/>
      <c r="H7" s="10"/>
    </row>
    <row r="8" spans="1:10" ht="26.25" x14ac:dyDescent="0.4">
      <c r="A8" s="4"/>
      <c r="B8" s="6"/>
      <c r="C8" s="6" t="s">
        <v>6</v>
      </c>
      <c r="D8" s="7" t="s">
        <v>7</v>
      </c>
      <c r="E8" s="11">
        <v>0</v>
      </c>
      <c r="F8" s="6"/>
      <c r="G8" s="6"/>
      <c r="H8" s="6"/>
    </row>
    <row r="9" spans="1:10" ht="26.25" x14ac:dyDescent="0.4">
      <c r="A9" s="4"/>
      <c r="B9" s="6"/>
      <c r="C9" s="6" t="s">
        <v>8</v>
      </c>
      <c r="D9" s="12" t="s">
        <v>7</v>
      </c>
      <c r="E9" s="11">
        <f>3131.58+68750.88-68750.88+1000-1031.7-1050.2</f>
        <v>2049.6800000000021</v>
      </c>
      <c r="F9" s="6"/>
      <c r="G9" s="6"/>
      <c r="H9" s="6"/>
    </row>
    <row r="10" spans="1:10" ht="26.25" x14ac:dyDescent="0.4">
      <c r="A10" s="4"/>
      <c r="B10" s="6"/>
      <c r="C10" s="6" t="s">
        <v>9</v>
      </c>
      <c r="D10" s="11"/>
      <c r="E10" s="11"/>
      <c r="F10" s="6"/>
      <c r="G10" s="6"/>
      <c r="H10" s="6"/>
    </row>
    <row r="11" spans="1:10" ht="26.25" x14ac:dyDescent="0.4">
      <c r="A11" s="4"/>
      <c r="B11" s="6"/>
      <c r="C11" s="6" t="s">
        <v>10</v>
      </c>
      <c r="D11" s="11" t="s">
        <v>7</v>
      </c>
      <c r="E11" s="11">
        <f>37327.98+582.29+48980.54</f>
        <v>86890.81</v>
      </c>
      <c r="F11" s="6"/>
      <c r="G11" s="6"/>
      <c r="H11" s="6"/>
    </row>
    <row r="12" spans="1:10" ht="26.25" x14ac:dyDescent="0.4">
      <c r="A12" s="4"/>
      <c r="B12" s="6"/>
      <c r="C12" s="6" t="s">
        <v>11</v>
      </c>
      <c r="D12" s="11"/>
      <c r="E12" s="11">
        <v>0</v>
      </c>
      <c r="F12" s="6"/>
      <c r="G12" s="6"/>
      <c r="H12" s="13"/>
    </row>
    <row r="13" spans="1:10" ht="26.25" x14ac:dyDescent="0.4">
      <c r="A13" s="4"/>
      <c r="B13" s="6"/>
      <c r="C13" s="6" t="s">
        <v>12</v>
      </c>
      <c r="D13" s="14">
        <f>SUM(D4:D12)</f>
        <v>1595009.3</v>
      </c>
      <c r="E13" s="11">
        <f>SUM(E4:E12)</f>
        <v>113607.07</v>
      </c>
      <c r="F13" s="6"/>
      <c r="G13" s="6"/>
      <c r="H13" s="15"/>
      <c r="I13" s="16"/>
      <c r="J13" s="16"/>
    </row>
    <row r="14" spans="1:10" ht="23.25" x14ac:dyDescent="0.35">
      <c r="A14" s="4"/>
      <c r="B14" s="17" t="s">
        <v>13</v>
      </c>
      <c r="C14" s="18" t="s">
        <v>14</v>
      </c>
      <c r="D14" s="19" t="s">
        <v>15</v>
      </c>
      <c r="E14" s="19"/>
      <c r="F14" s="20" t="s">
        <v>16</v>
      </c>
      <c r="G14" s="21"/>
      <c r="H14" s="22" t="s">
        <v>17</v>
      </c>
      <c r="J14" s="16"/>
    </row>
    <row r="15" spans="1:10" ht="23.25" x14ac:dyDescent="0.35">
      <c r="A15" s="4"/>
      <c r="B15" s="17"/>
      <c r="C15" s="23"/>
      <c r="D15" s="24" t="s">
        <v>18</v>
      </c>
      <c r="E15" s="25" t="s">
        <v>19</v>
      </c>
      <c r="F15" s="24" t="s">
        <v>20</v>
      </c>
      <c r="G15" s="25" t="s">
        <v>19</v>
      </c>
      <c r="H15" s="22"/>
    </row>
    <row r="16" spans="1:10" s="31" customFormat="1" ht="32.25" customHeight="1" x14ac:dyDescent="0.4">
      <c r="A16" s="26"/>
      <c r="B16" s="27" t="s">
        <v>21</v>
      </c>
      <c r="C16" s="28" t="s">
        <v>22</v>
      </c>
      <c r="D16" s="28">
        <v>22050</v>
      </c>
      <c r="E16" s="28"/>
      <c r="F16" s="29"/>
      <c r="G16" s="28"/>
      <c r="H16" s="30" t="s">
        <v>23</v>
      </c>
      <c r="J16" s="32"/>
    </row>
    <row r="17" spans="1:10" s="31" customFormat="1" ht="32.25" customHeight="1" x14ac:dyDescent="0.4">
      <c r="A17" s="26"/>
      <c r="B17" s="27" t="s">
        <v>21</v>
      </c>
      <c r="C17" s="28" t="s">
        <v>24</v>
      </c>
      <c r="D17" s="28">
        <v>344900</v>
      </c>
      <c r="E17" s="28"/>
      <c r="F17" s="29"/>
      <c r="G17" s="28"/>
      <c r="H17" s="30" t="s">
        <v>25</v>
      </c>
      <c r="J17" s="32"/>
    </row>
    <row r="18" spans="1:10" s="31" customFormat="1" ht="32.25" customHeight="1" x14ac:dyDescent="0.4">
      <c r="A18" s="26"/>
      <c r="B18" s="27" t="s">
        <v>21</v>
      </c>
      <c r="C18" s="30" t="s">
        <v>26</v>
      </c>
      <c r="D18" s="28">
        <v>150550</v>
      </c>
      <c r="E18" s="28"/>
      <c r="F18" s="28"/>
      <c r="G18" s="28"/>
      <c r="H18" s="30" t="s">
        <v>27</v>
      </c>
      <c r="J18" s="32"/>
    </row>
    <row r="19" spans="1:10" s="31" customFormat="1" ht="32.25" customHeight="1" x14ac:dyDescent="0.4">
      <c r="A19" s="26"/>
      <c r="B19" s="27" t="s">
        <v>21</v>
      </c>
      <c r="C19" s="28" t="s">
        <v>28</v>
      </c>
      <c r="D19" s="28"/>
      <c r="E19" s="28"/>
      <c r="F19" s="28">
        <v>200</v>
      </c>
      <c r="G19" s="28"/>
      <c r="H19" s="30" t="s">
        <v>29</v>
      </c>
      <c r="J19" s="32"/>
    </row>
    <row r="20" spans="1:10" s="31" customFormat="1" ht="32.25" customHeight="1" x14ac:dyDescent="0.4">
      <c r="A20" s="26"/>
      <c r="B20" s="27" t="s">
        <v>21</v>
      </c>
      <c r="C20" s="28" t="s">
        <v>30</v>
      </c>
      <c r="D20" s="28"/>
      <c r="E20" s="28"/>
      <c r="F20" s="28">
        <v>200</v>
      </c>
      <c r="G20" s="28"/>
      <c r="H20" s="30" t="s">
        <v>29</v>
      </c>
      <c r="J20" s="32"/>
    </row>
    <row r="21" spans="1:10" s="31" customFormat="1" ht="32.25" customHeight="1" x14ac:dyDescent="0.4">
      <c r="A21" s="26"/>
      <c r="B21" s="27" t="s">
        <v>21</v>
      </c>
      <c r="C21" s="30" t="s">
        <v>31</v>
      </c>
      <c r="D21" s="28"/>
      <c r="E21" s="28"/>
      <c r="F21" s="28">
        <v>916</v>
      </c>
      <c r="G21" s="28"/>
      <c r="H21" s="30" t="s">
        <v>32</v>
      </c>
      <c r="J21" s="32"/>
    </row>
    <row r="22" spans="1:10" s="31" customFormat="1" ht="32.25" customHeight="1" x14ac:dyDescent="0.4">
      <c r="A22" s="26"/>
      <c r="B22" s="27" t="s">
        <v>21</v>
      </c>
      <c r="C22" s="28" t="s">
        <v>33</v>
      </c>
      <c r="D22" s="28"/>
      <c r="E22" s="28"/>
      <c r="F22" s="28">
        <v>55</v>
      </c>
      <c r="G22" s="28"/>
      <c r="H22" s="30" t="s">
        <v>32</v>
      </c>
      <c r="J22" s="32"/>
    </row>
    <row r="23" spans="1:10" s="31" customFormat="1" ht="32.25" customHeight="1" x14ac:dyDescent="0.4">
      <c r="A23" s="26"/>
      <c r="B23" s="27" t="s">
        <v>21</v>
      </c>
      <c r="C23" s="28" t="s">
        <v>34</v>
      </c>
      <c r="D23" s="28"/>
      <c r="E23" s="28"/>
      <c r="F23" s="28">
        <v>20</v>
      </c>
      <c r="G23" s="28"/>
      <c r="H23" s="30" t="s">
        <v>35</v>
      </c>
      <c r="J23" s="32"/>
    </row>
    <row r="24" spans="1:10" s="31" customFormat="1" ht="25.5" customHeight="1" x14ac:dyDescent="0.4">
      <c r="A24" s="26"/>
      <c r="B24" s="27" t="s">
        <v>21</v>
      </c>
      <c r="C24" s="30" t="s">
        <v>36</v>
      </c>
      <c r="D24" s="28"/>
      <c r="E24" s="28"/>
      <c r="F24" s="28">
        <v>200</v>
      </c>
      <c r="G24" s="28"/>
      <c r="H24" s="30" t="s">
        <v>37</v>
      </c>
      <c r="J24" s="32"/>
    </row>
    <row r="25" spans="1:10" s="31" customFormat="1" ht="32.25" customHeight="1" x14ac:dyDescent="0.4">
      <c r="A25" s="26"/>
      <c r="B25" s="27" t="s">
        <v>21</v>
      </c>
      <c r="C25" s="28" t="s">
        <v>38</v>
      </c>
      <c r="D25" s="28"/>
      <c r="E25" s="28"/>
      <c r="F25" s="28">
        <v>85</v>
      </c>
      <c r="G25" s="28"/>
      <c r="H25" s="30" t="s">
        <v>35</v>
      </c>
      <c r="J25" s="32"/>
    </row>
    <row r="26" spans="1:10" s="31" customFormat="1" ht="32.25" customHeight="1" x14ac:dyDescent="0.4">
      <c r="A26" s="26"/>
      <c r="B26" s="27" t="s">
        <v>21</v>
      </c>
      <c r="C26" s="28" t="s">
        <v>39</v>
      </c>
      <c r="D26" s="28"/>
      <c r="E26" s="28"/>
      <c r="F26" s="28">
        <v>20000</v>
      </c>
      <c r="G26" s="28"/>
      <c r="H26" s="30" t="s">
        <v>40</v>
      </c>
      <c r="J26" s="32"/>
    </row>
    <row r="27" spans="1:10" s="31" customFormat="1" ht="32.25" customHeight="1" x14ac:dyDescent="0.4">
      <c r="A27" s="26"/>
      <c r="B27" s="27" t="s">
        <v>21</v>
      </c>
      <c r="C27" s="30" t="s">
        <v>41</v>
      </c>
      <c r="D27" s="28"/>
      <c r="E27" s="28"/>
      <c r="F27" s="28">
        <v>500000</v>
      </c>
      <c r="G27" s="28"/>
      <c r="H27" s="30" t="s">
        <v>42</v>
      </c>
      <c r="J27" s="32"/>
    </row>
    <row r="28" spans="1:10" s="31" customFormat="1" ht="32.25" customHeight="1" x14ac:dyDescent="0.4">
      <c r="A28" s="26"/>
      <c r="B28" s="27" t="s">
        <v>21</v>
      </c>
      <c r="C28" s="28" t="s">
        <v>43</v>
      </c>
      <c r="D28" s="28">
        <v>516098</v>
      </c>
      <c r="E28" s="28"/>
      <c r="F28" s="28"/>
      <c r="G28" s="28"/>
      <c r="H28" s="30" t="s">
        <v>44</v>
      </c>
      <c r="I28" s="33">
        <f>D28/3.674</f>
        <v>140473.05389221557</v>
      </c>
      <c r="J28" s="32"/>
    </row>
    <row r="29" spans="1:10" s="31" customFormat="1" ht="32.25" customHeight="1" x14ac:dyDescent="0.4">
      <c r="A29" s="26"/>
      <c r="B29" s="27" t="s">
        <v>21</v>
      </c>
      <c r="C29" s="34" t="s">
        <v>45</v>
      </c>
      <c r="D29" s="34"/>
      <c r="E29" s="34"/>
      <c r="F29" s="34">
        <v>12000</v>
      </c>
      <c r="G29" s="34"/>
      <c r="H29" s="35" t="s">
        <v>46</v>
      </c>
      <c r="J29" s="32"/>
    </row>
    <row r="30" spans="1:10" s="31" customFormat="1" ht="32.25" customHeight="1" x14ac:dyDescent="0.4">
      <c r="A30" s="26"/>
      <c r="B30" s="27" t="s">
        <v>21</v>
      </c>
      <c r="C30" s="30" t="s">
        <v>47</v>
      </c>
      <c r="D30" s="28"/>
      <c r="E30" s="28"/>
      <c r="F30" s="28">
        <v>171</v>
      </c>
      <c r="G30" s="28"/>
      <c r="H30" s="30" t="s">
        <v>35</v>
      </c>
      <c r="J30" s="32"/>
    </row>
    <row r="31" spans="1:10" s="31" customFormat="1" ht="32.25" customHeight="1" x14ac:dyDescent="0.4">
      <c r="A31" s="26"/>
      <c r="B31" s="27" t="s">
        <v>21</v>
      </c>
      <c r="C31" s="28" t="s">
        <v>48</v>
      </c>
      <c r="D31" s="28"/>
      <c r="E31" s="28"/>
      <c r="F31" s="28">
        <v>8000</v>
      </c>
      <c r="G31" s="28"/>
      <c r="H31" s="30" t="s">
        <v>49</v>
      </c>
      <c r="J31" s="32"/>
    </row>
    <row r="32" spans="1:10" s="31" customFormat="1" ht="31.5" customHeight="1" x14ac:dyDescent="0.4">
      <c r="A32" s="26"/>
      <c r="B32" s="27" t="s">
        <v>21</v>
      </c>
      <c r="C32" s="28" t="s">
        <v>50</v>
      </c>
      <c r="D32" s="28">
        <v>1031390</v>
      </c>
      <c r="E32" s="28"/>
      <c r="F32" s="28"/>
      <c r="G32" s="28"/>
      <c r="H32" s="30" t="s">
        <v>51</v>
      </c>
      <c r="J32" s="32"/>
    </row>
    <row r="33" spans="1:10" s="31" customFormat="1" ht="33" customHeight="1" x14ac:dyDescent="0.4">
      <c r="A33" s="26"/>
      <c r="B33" s="27" t="s">
        <v>21</v>
      </c>
      <c r="C33" s="28" t="s">
        <v>41</v>
      </c>
      <c r="D33" s="28"/>
      <c r="E33" s="28"/>
      <c r="F33" s="28">
        <v>235170</v>
      </c>
      <c r="G33" s="28"/>
      <c r="H33" s="30" t="s">
        <v>42</v>
      </c>
      <c r="J33" s="32"/>
    </row>
    <row r="34" spans="1:10" s="31" customFormat="1" ht="33" customHeight="1" x14ac:dyDescent="0.4">
      <c r="A34" s="26"/>
      <c r="B34" s="27" t="s">
        <v>21</v>
      </c>
      <c r="C34" s="28" t="s">
        <v>52</v>
      </c>
      <c r="D34" s="28">
        <v>87000</v>
      </c>
      <c r="E34" s="28"/>
      <c r="F34" s="28"/>
      <c r="G34" s="28"/>
      <c r="H34" s="30" t="s">
        <v>53</v>
      </c>
      <c r="J34" s="32"/>
    </row>
    <row r="35" spans="1:10" s="31" customFormat="1" ht="33" customHeight="1" x14ac:dyDescent="0.4">
      <c r="A35" s="26"/>
      <c r="B35" s="27" t="s">
        <v>21</v>
      </c>
      <c r="C35" s="28" t="s">
        <v>54</v>
      </c>
      <c r="D35" s="28"/>
      <c r="E35" s="28"/>
      <c r="F35" s="28">
        <v>87000</v>
      </c>
      <c r="G35" s="28"/>
      <c r="H35" s="30" t="s">
        <v>29</v>
      </c>
      <c r="J35" s="32"/>
    </row>
    <row r="36" spans="1:10" s="31" customFormat="1" ht="68.25" customHeight="1" x14ac:dyDescent="0.4">
      <c r="A36" s="26"/>
      <c r="B36" s="27" t="s">
        <v>21</v>
      </c>
      <c r="C36" s="30" t="s">
        <v>55</v>
      </c>
      <c r="D36" s="28">
        <f>42060*3.673</f>
        <v>154486.38</v>
      </c>
      <c r="E36" s="28"/>
      <c r="F36" s="28"/>
      <c r="G36" s="28"/>
      <c r="H36" s="30" t="s">
        <v>56</v>
      </c>
      <c r="J36" s="32"/>
    </row>
    <row r="37" spans="1:10" s="31" customFormat="1" ht="56.25" customHeight="1" x14ac:dyDescent="0.4">
      <c r="A37" s="26"/>
      <c r="B37" s="27" t="s">
        <v>21</v>
      </c>
      <c r="C37" s="36" t="s">
        <v>57</v>
      </c>
      <c r="D37" s="28"/>
      <c r="E37" s="28"/>
      <c r="F37" s="28">
        <f>42060*3.673</f>
        <v>154486.38</v>
      </c>
      <c r="G37" s="28"/>
      <c r="H37" s="30" t="s">
        <v>27</v>
      </c>
      <c r="J37" s="32"/>
    </row>
    <row r="38" spans="1:10" s="31" customFormat="1" ht="39" customHeight="1" x14ac:dyDescent="0.4">
      <c r="A38" s="26"/>
      <c r="B38" s="27" t="s">
        <v>21</v>
      </c>
      <c r="C38" s="30" t="s">
        <v>58</v>
      </c>
      <c r="D38" s="28">
        <f>380000/25.88</f>
        <v>14683.153013910356</v>
      </c>
      <c r="E38" s="28"/>
      <c r="F38" s="28"/>
      <c r="G38" s="28"/>
      <c r="H38" s="30" t="s">
        <v>59</v>
      </c>
      <c r="J38" s="32"/>
    </row>
    <row r="39" spans="1:10" s="31" customFormat="1" ht="39" customHeight="1" x14ac:dyDescent="0.4">
      <c r="A39" s="26"/>
      <c r="B39" s="27" t="s">
        <v>21</v>
      </c>
      <c r="C39" s="37" t="s">
        <v>60</v>
      </c>
      <c r="D39" s="28"/>
      <c r="E39" s="28"/>
      <c r="F39" s="28">
        <f>380000/25.88</f>
        <v>14683.153013910356</v>
      </c>
      <c r="G39" s="28"/>
      <c r="H39" s="30" t="s">
        <v>61</v>
      </c>
      <c r="J39" s="32"/>
    </row>
    <row r="40" spans="1:10" s="31" customFormat="1" ht="33" customHeight="1" x14ac:dyDescent="0.4">
      <c r="A40" s="26"/>
      <c r="B40" s="27" t="s">
        <v>21</v>
      </c>
      <c r="C40" s="30" t="s">
        <v>62</v>
      </c>
      <c r="D40" s="28">
        <v>222000</v>
      </c>
      <c r="E40" s="28"/>
      <c r="F40" s="28"/>
      <c r="G40" s="28"/>
      <c r="H40" s="30" t="s">
        <v>63</v>
      </c>
      <c r="J40" s="32"/>
    </row>
    <row r="41" spans="1:10" s="31" customFormat="1" ht="33" customHeight="1" x14ac:dyDescent="0.4">
      <c r="A41" s="26"/>
      <c r="B41" s="27" t="s">
        <v>21</v>
      </c>
      <c r="C41" s="36" t="s">
        <v>64</v>
      </c>
      <c r="D41" s="28"/>
      <c r="E41" s="28"/>
      <c r="F41" s="28">
        <v>222000</v>
      </c>
      <c r="G41" s="28"/>
      <c r="H41" s="30" t="s">
        <v>65</v>
      </c>
      <c r="J41" s="32"/>
    </row>
    <row r="42" spans="1:10" s="31" customFormat="1" ht="33" customHeight="1" x14ac:dyDescent="0.4">
      <c r="A42" s="26"/>
      <c r="B42" s="27" t="s">
        <v>66</v>
      </c>
      <c r="C42" s="28" t="s">
        <v>67</v>
      </c>
      <c r="D42" s="28">
        <v>200</v>
      </c>
      <c r="E42" s="28"/>
      <c r="F42" s="28"/>
      <c r="G42" s="28"/>
      <c r="H42" s="30" t="s">
        <v>68</v>
      </c>
      <c r="J42" s="32"/>
    </row>
    <row r="43" spans="1:10" s="31" customFormat="1" ht="33" customHeight="1" x14ac:dyDescent="0.4">
      <c r="A43" s="26"/>
      <c r="B43" s="27" t="s">
        <v>66</v>
      </c>
      <c r="C43" s="28" t="s">
        <v>69</v>
      </c>
      <c r="D43" s="28">
        <v>200</v>
      </c>
      <c r="E43" s="28"/>
      <c r="F43" s="28"/>
      <c r="G43" s="28"/>
      <c r="H43" s="30" t="s">
        <v>68</v>
      </c>
      <c r="J43" s="32"/>
    </row>
    <row r="44" spans="1:10" s="31" customFormat="1" ht="33" customHeight="1" x14ac:dyDescent="0.4">
      <c r="A44" s="26"/>
      <c r="B44" s="27" t="s">
        <v>66</v>
      </c>
      <c r="C44" s="28" t="s">
        <v>70</v>
      </c>
      <c r="D44" s="28">
        <v>87000</v>
      </c>
      <c r="E44" s="28"/>
      <c r="F44" s="28"/>
      <c r="G44" s="28"/>
      <c r="H44" s="30" t="s">
        <v>68</v>
      </c>
      <c r="J44" s="32"/>
    </row>
    <row r="45" spans="1:10" s="31" customFormat="1" ht="33" customHeight="1" x14ac:dyDescent="0.4">
      <c r="A45" s="26"/>
      <c r="B45" s="30" t="s">
        <v>71</v>
      </c>
      <c r="C45" s="28" t="s">
        <v>72</v>
      </c>
      <c r="D45" s="28"/>
      <c r="E45" s="28"/>
      <c r="F45" s="28">
        <v>353000</v>
      </c>
      <c r="G45" s="28"/>
      <c r="H45" s="30" t="s">
        <v>73</v>
      </c>
      <c r="J45" s="32"/>
    </row>
    <row r="46" spans="1:10" s="31" customFormat="1" ht="33" customHeight="1" x14ac:dyDescent="0.4">
      <c r="A46" s="26"/>
      <c r="B46" s="30" t="s">
        <v>71</v>
      </c>
      <c r="C46" s="28" t="s">
        <v>74</v>
      </c>
      <c r="D46" s="28"/>
      <c r="E46" s="28"/>
      <c r="F46" s="28">
        <v>225500</v>
      </c>
      <c r="G46" s="28"/>
      <c r="H46" s="30" t="s">
        <v>63</v>
      </c>
      <c r="J46" s="32"/>
    </row>
    <row r="47" spans="1:10" s="31" customFormat="1" ht="53.25" customHeight="1" x14ac:dyDescent="0.4">
      <c r="A47" s="26"/>
      <c r="B47" s="27" t="s">
        <v>75</v>
      </c>
      <c r="C47" s="28" t="s">
        <v>76</v>
      </c>
      <c r="E47" s="28"/>
      <c r="F47" s="28">
        <v>11250</v>
      </c>
      <c r="G47" s="28"/>
      <c r="H47" s="30" t="s">
        <v>35</v>
      </c>
      <c r="J47" s="32"/>
    </row>
    <row r="48" spans="1:10" s="31" customFormat="1" ht="53.25" customHeight="1" x14ac:dyDescent="0.4">
      <c r="A48" s="26"/>
      <c r="B48" s="30" t="s">
        <v>77</v>
      </c>
      <c r="C48" s="28" t="s">
        <v>78</v>
      </c>
      <c r="D48" s="28"/>
      <c r="E48" s="28"/>
      <c r="F48" s="28"/>
      <c r="G48" s="28">
        <v>53667.85</v>
      </c>
      <c r="H48" s="35" t="s">
        <v>79</v>
      </c>
      <c r="J48" s="32"/>
    </row>
    <row r="49" spans="1:12" s="31" customFormat="1" ht="33" customHeight="1" x14ac:dyDescent="0.4">
      <c r="A49" s="26"/>
      <c r="B49" s="30" t="s">
        <v>71</v>
      </c>
      <c r="C49" s="28" t="s">
        <v>80</v>
      </c>
      <c r="D49" s="28"/>
      <c r="E49" s="28"/>
      <c r="F49" s="28">
        <v>851.3</v>
      </c>
      <c r="G49" s="28"/>
      <c r="H49" s="30" t="s">
        <v>81</v>
      </c>
      <c r="J49" s="32"/>
    </row>
    <row r="50" spans="1:12" s="31" customFormat="1" ht="39" customHeight="1" x14ac:dyDescent="0.4">
      <c r="A50" s="26"/>
      <c r="B50" s="27"/>
      <c r="C50" s="28"/>
      <c r="D50" s="28"/>
      <c r="E50" s="28"/>
      <c r="F50" s="28"/>
      <c r="G50" s="28"/>
      <c r="H50" s="30"/>
      <c r="J50" s="32"/>
    </row>
    <row r="51" spans="1:12" s="31" customFormat="1" ht="30.75" customHeight="1" x14ac:dyDescent="0.4">
      <c r="A51" s="26"/>
      <c r="B51" s="38"/>
      <c r="C51" s="39"/>
      <c r="D51" s="40"/>
      <c r="E51" s="40"/>
      <c r="F51" s="40"/>
      <c r="G51" s="41"/>
      <c r="H51" s="38"/>
    </row>
    <row r="52" spans="1:12" s="31" customFormat="1" ht="26.25" x14ac:dyDescent="0.4">
      <c r="A52" s="42"/>
      <c r="B52" s="43"/>
      <c r="C52" s="44" t="s">
        <v>82</v>
      </c>
      <c r="D52" s="45">
        <f>SUMIF($B$16:$B$50,"CASH",D16:D50)</f>
        <v>2543157.5330139101</v>
      </c>
      <c r="E52" s="46">
        <f>SUMIF($B$16:$B$50,"CASH",E16:E50)</f>
        <v>0</v>
      </c>
      <c r="F52" s="46">
        <f>SUMIF($B$16:$B$50,"CASH",F16:F50)</f>
        <v>1255186.5330139105</v>
      </c>
      <c r="G52" s="47">
        <f>SUMIF($B$16:$B$50,"CASH",G16:G50)</f>
        <v>0</v>
      </c>
      <c r="H52" s="10"/>
    </row>
    <row r="53" spans="1:12" s="31" customFormat="1" ht="26.25" x14ac:dyDescent="0.4">
      <c r="A53" s="26"/>
      <c r="B53" s="43"/>
      <c r="C53" s="44" t="s">
        <v>83</v>
      </c>
      <c r="D53" s="48">
        <f>SUMIF($B$16:$B$50,"BANK-1",D16:D50)</f>
        <v>0</v>
      </c>
      <c r="E53" s="48">
        <f>SUMIF($B$16:$B$50,"BANK-1",E16:E50)</f>
        <v>0</v>
      </c>
      <c r="F53" s="48">
        <f>SUMIF($B$16:$B$50,"BANK-1",F16:F50)</f>
        <v>579351.30000000005</v>
      </c>
      <c r="G53" s="49">
        <f>SUMIF($B$16:$B$50,"BANK-1",G16:G50)</f>
        <v>0</v>
      </c>
      <c r="H53" s="50"/>
    </row>
    <row r="54" spans="1:12" s="31" customFormat="1" ht="23.25" x14ac:dyDescent="0.35">
      <c r="A54" s="26"/>
      <c r="B54" s="43"/>
      <c r="C54" s="44" t="s">
        <v>84</v>
      </c>
      <c r="D54" s="51">
        <f>SUMIF($B$16:$B$50,"BANK-2",D16:D50)</f>
        <v>87400</v>
      </c>
      <c r="E54" s="51">
        <f>SUMIF($B$16:$B$50,"BANK-2",E16:E50)</f>
        <v>0</v>
      </c>
      <c r="F54" s="51">
        <f>SUMIF($B$16:$B$50,"BANK-2",F16:F50)</f>
        <v>0</v>
      </c>
      <c r="G54" s="52">
        <f>SUMIF($B$16:$B$50,"BANK-2",G16:G50)</f>
        <v>0</v>
      </c>
      <c r="H54" s="10"/>
    </row>
    <row r="55" spans="1:12" s="31" customFormat="1" ht="23.25" x14ac:dyDescent="0.35">
      <c r="A55" s="26"/>
      <c r="B55" s="43"/>
      <c r="C55" s="44" t="s">
        <v>85</v>
      </c>
      <c r="D55" s="51">
        <f>SUMIF($B$16:$B$50,"BANK-Per",D16:D50)</f>
        <v>0</v>
      </c>
      <c r="E55" s="51">
        <f>SUMIF($B$16:$B$50,"BANK-Per",E16:E50)</f>
        <v>0</v>
      </c>
      <c r="F55" s="51">
        <f>SUMIF($B$16:$B$50,"BANK-Per",F16:F50)</f>
        <v>11250</v>
      </c>
      <c r="G55" s="51">
        <f>SUMIF($B$16:$B$50,"BANK-Per",G16:G50)</f>
        <v>0</v>
      </c>
      <c r="H55" s="10"/>
    </row>
    <row r="56" spans="1:12" s="31" customFormat="1" ht="23.25" x14ac:dyDescent="0.35">
      <c r="A56" s="26"/>
      <c r="B56" s="43"/>
      <c r="C56" s="44" t="s">
        <v>86</v>
      </c>
      <c r="D56" s="51">
        <f>SUMIF($B$16:$B$50,"BANK-Pay",D16:D50)</f>
        <v>0</v>
      </c>
      <c r="E56" s="51">
        <f>SUMIF($B$16:$B$50,"BANK-Pay",E16:E50)</f>
        <v>0</v>
      </c>
      <c r="F56" s="51">
        <f>SUMIF($B$16:$B$50,"BANK-Pay",F16:F50)</f>
        <v>0</v>
      </c>
      <c r="G56" s="51">
        <f>SUMIF($B$16:$B$50,"BANK-Pay",G16:G50)</f>
        <v>53667.85</v>
      </c>
      <c r="H56" s="10"/>
    </row>
    <row r="57" spans="1:12" ht="23.25" x14ac:dyDescent="0.35">
      <c r="A57" s="53"/>
      <c r="B57" s="54"/>
      <c r="C57" s="55" t="s">
        <v>11</v>
      </c>
      <c r="D57" s="56">
        <f>SUMIF($B$16:$B$50,"TRANSIT",D16:D50)</f>
        <v>0</v>
      </c>
      <c r="E57" s="56">
        <f>SUMIF($B$16:$B$50,"TRANSIT",E16:E50)</f>
        <v>0</v>
      </c>
      <c r="F57" s="56">
        <f>SUMIF($B$16:$B$50,"TRANSIT",F16:F50)</f>
        <v>0</v>
      </c>
      <c r="G57" s="56">
        <f>SUMIF($B$16:$B$50,"TRANSIT",G16:G50)</f>
        <v>0</v>
      </c>
      <c r="H57" s="57"/>
    </row>
    <row r="58" spans="1:12" ht="23.25" x14ac:dyDescent="0.35">
      <c r="A58" s="53"/>
      <c r="B58" s="8"/>
      <c r="C58" s="58" t="s">
        <v>87</v>
      </c>
      <c r="D58" s="59">
        <f>SUM(D52:D57)</f>
        <v>2630557.5330139101</v>
      </c>
      <c r="E58" s="59">
        <f>SUM(E52:E57)</f>
        <v>0</v>
      </c>
      <c r="F58" s="59">
        <f>SUM(F52:F57)</f>
        <v>1845787.8330139106</v>
      </c>
      <c r="G58" s="59">
        <f>SUM(G52:G57)</f>
        <v>53667.85</v>
      </c>
      <c r="H58" s="60"/>
      <c r="I58" s="61"/>
      <c r="J58" s="62"/>
    </row>
    <row r="59" spans="1:12" ht="3" customHeight="1" x14ac:dyDescent="0.3">
      <c r="A59" s="4"/>
      <c r="B59" s="4"/>
      <c r="C59" s="63"/>
      <c r="D59" s="64"/>
      <c r="E59" s="64"/>
      <c r="F59" s="64"/>
      <c r="G59" s="64"/>
      <c r="H59" s="2"/>
    </row>
    <row r="60" spans="1:12" ht="18.75" x14ac:dyDescent="0.3">
      <c r="A60" s="4"/>
      <c r="B60" s="4"/>
      <c r="C60" s="53"/>
      <c r="D60" s="65"/>
      <c r="E60" s="65"/>
      <c r="F60" s="65"/>
      <c r="G60" s="65"/>
      <c r="L60" s="16"/>
    </row>
    <row r="61" spans="1:12" ht="18.75" x14ac:dyDescent="0.3">
      <c r="A61" s="4"/>
      <c r="B61" s="4"/>
      <c r="C61" s="53"/>
      <c r="D61" s="65"/>
      <c r="E61" s="65"/>
      <c r="F61" s="65"/>
      <c r="G61" s="65"/>
      <c r="H61" s="60"/>
    </row>
    <row r="62" spans="1:12" ht="26.25" x14ac:dyDescent="0.4">
      <c r="A62" s="4"/>
      <c r="B62" s="4"/>
      <c r="C62" s="53"/>
      <c r="D62" s="7"/>
      <c r="E62" s="65"/>
      <c r="F62" s="65"/>
      <c r="G62" s="65"/>
      <c r="H62" s="2"/>
      <c r="I62" s="16"/>
      <c r="J62" s="16"/>
    </row>
    <row r="63" spans="1:12" ht="24.75" customHeight="1" x14ac:dyDescent="0.4">
      <c r="A63" s="53"/>
      <c r="B63" s="6" t="s">
        <v>88</v>
      </c>
      <c r="C63" s="6" t="s">
        <v>1</v>
      </c>
      <c r="D63" s="7">
        <v>965734.47</v>
      </c>
      <c r="E63" s="7">
        <v>3178.08</v>
      </c>
      <c r="F63" s="53"/>
      <c r="G63" s="53"/>
      <c r="H63" s="2"/>
    </row>
    <row r="64" spans="1:12" ht="26.25" x14ac:dyDescent="0.4">
      <c r="A64" s="4"/>
      <c r="B64" s="2"/>
      <c r="C64" s="6" t="s">
        <v>2</v>
      </c>
      <c r="D64" s="7">
        <f>72482.78+400</f>
        <v>72882.78</v>
      </c>
      <c r="E64" s="7">
        <f>21292-179.09</f>
        <v>21112.91</v>
      </c>
      <c r="H64" s="16"/>
      <c r="I64" s="66"/>
    </row>
    <row r="65" spans="1:10" ht="26.25" x14ac:dyDescent="0.4">
      <c r="A65" s="53"/>
      <c r="B65" s="67"/>
      <c r="C65" s="6" t="s">
        <v>3</v>
      </c>
      <c r="D65" s="7">
        <f>82001.26+97700-97520+14500-15468.74-52250+16000-16000+8300+19800-21000-8250+663700-100000+331850-764900-100000-29000+31500-15468.74-15750+106900-106720+50000-49000+109000-92000-11250</f>
        <v>36673.780000000028</v>
      </c>
      <c r="E65" s="7">
        <v>375.59</v>
      </c>
      <c r="F65" s="53"/>
      <c r="H65" s="7"/>
    </row>
    <row r="66" spans="1:10" ht="26.25" x14ac:dyDescent="0.4">
      <c r="A66" s="53"/>
      <c r="B66" s="67"/>
      <c r="C66" s="6" t="s">
        <v>4</v>
      </c>
      <c r="D66" s="7">
        <v>1304487.97</v>
      </c>
      <c r="E66" s="7" t="s">
        <v>5</v>
      </c>
      <c r="G66" s="53"/>
      <c r="H66" s="7"/>
      <c r="I66" s="16"/>
    </row>
    <row r="67" spans="1:10" ht="26.25" x14ac:dyDescent="0.4">
      <c r="A67" s="53"/>
      <c r="B67" s="67"/>
      <c r="C67" s="6" t="s">
        <v>6</v>
      </c>
      <c r="D67" s="7" t="s">
        <v>7</v>
      </c>
      <c r="E67" s="11">
        <v>0</v>
      </c>
      <c r="F67" s="53"/>
      <c r="G67" s="53"/>
      <c r="H67" s="7"/>
      <c r="I67" s="66"/>
    </row>
    <row r="68" spans="1:10" ht="26.25" x14ac:dyDescent="0.4">
      <c r="A68" s="53"/>
      <c r="B68" s="67"/>
      <c r="C68" s="6" t="s">
        <v>8</v>
      </c>
      <c r="D68" s="12" t="s">
        <v>7</v>
      </c>
      <c r="E68" s="11">
        <f>3131.58+68750.88-68750.88+1000-1031.7-1050.2</f>
        <v>2049.6800000000021</v>
      </c>
      <c r="F68" s="53"/>
      <c r="G68" s="53"/>
      <c r="H68" s="7"/>
      <c r="I68" s="66"/>
    </row>
    <row r="69" spans="1:10" ht="26.25" x14ac:dyDescent="0.4">
      <c r="A69" s="53"/>
      <c r="B69" s="67"/>
      <c r="C69" s="6" t="s">
        <v>89</v>
      </c>
      <c r="D69" s="11"/>
      <c r="E69" s="11"/>
      <c r="G69" s="53"/>
      <c r="H69" s="11"/>
    </row>
    <row r="70" spans="1:10" ht="26.25" x14ac:dyDescent="0.4">
      <c r="A70" s="53"/>
      <c r="B70" s="67"/>
      <c r="C70" s="6" t="s">
        <v>10</v>
      </c>
      <c r="D70" s="11" t="s">
        <v>7</v>
      </c>
      <c r="E70" s="11">
        <f>37327.98+582.29+48980.54-53667.85</f>
        <v>33222.959999999999</v>
      </c>
      <c r="F70" s="68"/>
      <c r="G70" s="53"/>
      <c r="H70" s="11"/>
    </row>
    <row r="71" spans="1:10" ht="26.25" x14ac:dyDescent="0.4">
      <c r="A71" s="53"/>
      <c r="B71" s="67"/>
      <c r="C71" s="6" t="s">
        <v>11</v>
      </c>
      <c r="D71" s="11"/>
      <c r="E71" s="11">
        <v>0</v>
      </c>
      <c r="F71" s="65"/>
      <c r="G71" s="68"/>
      <c r="H71" s="11"/>
    </row>
    <row r="72" spans="1:10" ht="26.25" x14ac:dyDescent="0.4">
      <c r="A72" s="53"/>
      <c r="B72" s="67"/>
      <c r="C72" s="6" t="s">
        <v>12</v>
      </c>
      <c r="D72" s="14">
        <f>SUM(D63:D71)</f>
        <v>2379779</v>
      </c>
      <c r="E72" s="11">
        <f>SUM(E63:E71)</f>
        <v>59939.22</v>
      </c>
      <c r="G72" s="65"/>
      <c r="H72" s="16"/>
      <c r="I72" s="16"/>
      <c r="J72" s="62"/>
    </row>
    <row r="73" spans="1:10" ht="57.75" customHeight="1" x14ac:dyDescent="0.4">
      <c r="A73" s="4"/>
      <c r="B73" s="69" t="s">
        <v>90</v>
      </c>
      <c r="C73" s="4"/>
      <c r="D73" s="13">
        <f>D13+(SUM(D52:D57)-SUM(F52:F57))-D72</f>
        <v>0</v>
      </c>
      <c r="E73" s="13">
        <f>E13+(SUM(E52:E57)-SUM(G52:G57))-E72</f>
        <v>0</v>
      </c>
      <c r="F73" s="70"/>
      <c r="G73" s="53"/>
      <c r="H73" s="68"/>
      <c r="J73" s="16"/>
    </row>
    <row r="74" spans="1:10" ht="49.5" customHeight="1" x14ac:dyDescent="0.4">
      <c r="A74" s="4"/>
      <c r="B74" s="69"/>
      <c r="C74" s="13" t="s">
        <v>91</v>
      </c>
      <c r="D74" s="13"/>
      <c r="E74" s="71">
        <v>53667.85</v>
      </c>
      <c r="F74" s="70"/>
      <c r="G74" s="53"/>
      <c r="H74" s="68"/>
      <c r="J74" s="16"/>
    </row>
    <row r="75" spans="1:10" ht="34.5" customHeight="1" x14ac:dyDescent="0.4">
      <c r="A75" s="4"/>
      <c r="B75" s="69"/>
      <c r="C75" s="38"/>
      <c r="D75" s="13"/>
      <c r="E75" s="71"/>
      <c r="F75" s="70"/>
      <c r="G75" s="53"/>
      <c r="H75" s="68"/>
      <c r="J75" s="16"/>
    </row>
    <row r="76" spans="1:10" ht="30.75" customHeight="1" x14ac:dyDescent="0.4">
      <c r="A76" s="4"/>
      <c r="B76" s="69"/>
      <c r="C76" s="38"/>
      <c r="D76" s="72"/>
      <c r="E76" s="71"/>
      <c r="F76" s="70"/>
      <c r="G76" s="53"/>
      <c r="H76" s="68"/>
      <c r="J76" s="16"/>
    </row>
    <row r="77" spans="1:10" ht="30.75" customHeight="1" x14ac:dyDescent="0.4">
      <c r="A77" s="4"/>
      <c r="B77" s="69"/>
      <c r="C77" s="38"/>
      <c r="D77" s="72"/>
      <c r="E77" s="71"/>
      <c r="F77" s="70"/>
      <c r="G77" s="53"/>
      <c r="H77" s="68"/>
      <c r="J77" s="16"/>
    </row>
    <row r="78" spans="1:10" ht="30.75" customHeight="1" x14ac:dyDescent="0.4">
      <c r="A78" s="4"/>
      <c r="B78" s="69"/>
      <c r="C78" s="38"/>
      <c r="D78" s="72"/>
      <c r="E78" s="71"/>
      <c r="F78" s="70"/>
      <c r="G78" s="53"/>
      <c r="H78" s="68"/>
      <c r="J78" s="16"/>
    </row>
    <row r="79" spans="1:10" ht="30.75" customHeight="1" x14ac:dyDescent="0.4">
      <c r="A79" s="4"/>
      <c r="B79" s="69"/>
      <c r="C79" s="38"/>
      <c r="D79" s="72"/>
      <c r="E79" s="71"/>
      <c r="F79" s="70"/>
      <c r="G79" s="53"/>
      <c r="H79" s="68"/>
      <c r="J79" s="16"/>
    </row>
    <row r="80" spans="1:10" ht="30.75" customHeight="1" x14ac:dyDescent="0.4">
      <c r="A80" s="4"/>
      <c r="B80" s="69"/>
      <c r="C80" s="38"/>
      <c r="D80" s="71"/>
      <c r="E80" s="72"/>
      <c r="F80" s="70"/>
      <c r="G80" s="53"/>
      <c r="H80" s="68"/>
      <c r="J80" s="16"/>
    </row>
    <row r="81" spans="1:8" ht="27" customHeight="1" x14ac:dyDescent="0.25">
      <c r="A81" s="2"/>
      <c r="B81" s="2"/>
      <c r="C81" s="2"/>
      <c r="D81" s="2"/>
      <c r="E81" s="60"/>
      <c r="F81" s="60"/>
      <c r="G81" s="2"/>
      <c r="H81" s="2"/>
    </row>
    <row r="82" spans="1:8" ht="31.5" customHeight="1" x14ac:dyDescent="0.4">
      <c r="A82" s="2"/>
      <c r="B82" s="2"/>
      <c r="C82" s="38"/>
      <c r="D82" s="2"/>
      <c r="E82" s="71"/>
      <c r="F82" s="60"/>
      <c r="G82" s="2"/>
      <c r="H82" s="2"/>
    </row>
    <row r="83" spans="1:8" ht="30" customHeight="1" x14ac:dyDescent="0.4">
      <c r="A83" s="2"/>
      <c r="B83" s="2"/>
      <c r="C83" s="38"/>
      <c r="D83" s="60"/>
      <c r="E83" s="71"/>
      <c r="F83" s="60"/>
      <c r="G83" s="2"/>
      <c r="H83" s="2"/>
    </row>
    <row r="84" spans="1:8" x14ac:dyDescent="0.25">
      <c r="A84" s="2"/>
      <c r="B84" s="2"/>
      <c r="C84" s="2"/>
      <c r="D84" s="2"/>
      <c r="E84" s="60"/>
      <c r="F84" s="60"/>
      <c r="G84" s="2"/>
      <c r="H84" s="2"/>
    </row>
    <row r="85" spans="1:8" x14ac:dyDescent="0.25">
      <c r="A85" s="2"/>
      <c r="B85" s="2"/>
      <c r="C85" s="2"/>
      <c r="D85" s="2"/>
      <c r="E85" s="60"/>
      <c r="F85" s="60"/>
      <c r="G85" s="2"/>
      <c r="H85" s="2"/>
    </row>
    <row r="86" spans="1:8" x14ac:dyDescent="0.25">
      <c r="A86" s="2"/>
      <c r="B86" s="2"/>
      <c r="C86" s="2"/>
      <c r="D86" s="2"/>
      <c r="E86" s="60"/>
      <c r="F86" s="60"/>
      <c r="G86" s="2"/>
      <c r="H86" s="2"/>
    </row>
    <row r="87" spans="1:8" x14ac:dyDescent="0.25">
      <c r="A87" s="2"/>
      <c r="B87" s="2"/>
      <c r="C87" s="2"/>
      <c r="D87" s="2"/>
      <c r="E87" s="60"/>
      <c r="F87" s="60"/>
      <c r="G87" s="2"/>
      <c r="H87" s="2"/>
    </row>
    <row r="88" spans="1:8" x14ac:dyDescent="0.25">
      <c r="A88" s="2"/>
      <c r="B88" s="2"/>
      <c r="C88" s="2"/>
      <c r="D88" s="2"/>
      <c r="E88" s="60"/>
      <c r="F88" s="60"/>
      <c r="G88" s="2"/>
      <c r="H88" s="2"/>
    </row>
    <row r="89" spans="1:8" x14ac:dyDescent="0.25">
      <c r="A89" s="2"/>
      <c r="B89" s="2"/>
      <c r="C89" s="2"/>
      <c r="D89" s="2"/>
      <c r="E89" s="60"/>
      <c r="F89" s="60"/>
      <c r="G89" s="2"/>
      <c r="H89" s="2"/>
    </row>
    <row r="90" spans="1:8" x14ac:dyDescent="0.25">
      <c r="A90" s="2"/>
      <c r="B90" s="2"/>
      <c r="C90" s="2"/>
      <c r="D90" s="2"/>
      <c r="E90" s="60"/>
      <c r="F90" s="60"/>
      <c r="G90" s="2"/>
      <c r="H90" s="2"/>
    </row>
    <row r="91" spans="1:8" x14ac:dyDescent="0.25">
      <c r="A91" s="2"/>
      <c r="B91" s="2"/>
      <c r="C91" s="2"/>
      <c r="D91" s="2"/>
      <c r="E91" s="60"/>
      <c r="F91" s="60"/>
      <c r="G91" s="2"/>
      <c r="H91" s="2"/>
    </row>
    <row r="92" spans="1:8" x14ac:dyDescent="0.25">
      <c r="A92" s="2"/>
      <c r="B92" s="2"/>
      <c r="C92" s="2"/>
      <c r="D92" s="2"/>
      <c r="E92" s="60"/>
      <c r="F92" s="60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73"/>
      <c r="G94" s="2"/>
      <c r="H94" s="2"/>
    </row>
    <row r="95" spans="1:8" x14ac:dyDescent="0.25">
      <c r="E95" s="74"/>
      <c r="F95" s="74"/>
    </row>
    <row r="96" spans="1:8" x14ac:dyDescent="0.25">
      <c r="E96" s="74"/>
      <c r="F96" s="74"/>
    </row>
    <row r="98" spans="6:6" x14ac:dyDescent="0.25">
      <c r="F98" s="66"/>
    </row>
    <row r="1048543" spans="8:8" ht="26.25" x14ac:dyDescent="0.4">
      <c r="H1048543" s="30"/>
    </row>
    <row r="1048557" spans="8:8" ht="26.25" x14ac:dyDescent="0.4">
      <c r="H1048557" s="30" t="s">
        <v>79</v>
      </c>
    </row>
  </sheetData>
  <mergeCells count="5">
    <mergeCell ref="B2:H2"/>
    <mergeCell ref="B14:B15"/>
    <mergeCell ref="C14:C15"/>
    <mergeCell ref="D14:E14"/>
    <mergeCell ref="F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5EA0-834A-4FD0-B3EE-47C7F6C2A668}">
  <dimension ref="A1:AE43"/>
  <sheetViews>
    <sheetView tabSelected="1" topLeftCell="A3" zoomScale="50" zoomScaleNormal="50" workbookViewId="0">
      <selection activeCell="J35" sqref="J35"/>
    </sheetView>
  </sheetViews>
  <sheetFormatPr defaultRowHeight="15" x14ac:dyDescent="0.25"/>
  <cols>
    <col min="1" max="1" width="24.140625" customWidth="1"/>
    <col min="2" max="2" width="26.85546875" bestFit="1" customWidth="1"/>
    <col min="3" max="3" width="59" customWidth="1"/>
    <col min="4" max="4" width="29.5703125" customWidth="1"/>
    <col min="5" max="5" width="28.28515625" customWidth="1"/>
    <col min="6" max="6" width="1.42578125" customWidth="1"/>
    <col min="7" max="7" width="27.28515625" customWidth="1"/>
    <col min="8" max="8" width="27.42578125" customWidth="1"/>
    <col min="9" max="9" width="29.140625" bestFit="1" customWidth="1"/>
    <col min="10" max="10" width="31.5703125" customWidth="1"/>
    <col min="11" max="11" width="2.7109375" customWidth="1"/>
    <col min="12" max="12" width="32.42578125" customWidth="1"/>
    <col min="13" max="13" width="0.5703125" customWidth="1"/>
    <col min="14" max="14" width="29.85546875" customWidth="1"/>
    <col min="15" max="15" width="30.85546875" customWidth="1"/>
    <col min="18" max="18" width="27.42578125" style="83" bestFit="1" customWidth="1"/>
    <col min="19" max="19" width="68.7109375" bestFit="1" customWidth="1"/>
  </cols>
  <sheetData>
    <row r="1" spans="1:31" ht="23.25" x14ac:dyDescent="0.35">
      <c r="A1" s="75">
        <v>45922</v>
      </c>
      <c r="B1" s="75"/>
      <c r="E1" s="76"/>
      <c r="F1" s="76"/>
      <c r="G1" s="76"/>
      <c r="H1" s="76"/>
      <c r="I1" s="76"/>
      <c r="J1" s="76"/>
      <c r="K1" s="76"/>
      <c r="L1" s="76"/>
      <c r="M1" s="76"/>
      <c r="N1" s="76"/>
      <c r="R1" s="77" t="s">
        <v>92</v>
      </c>
      <c r="S1" s="78"/>
      <c r="T1" s="78"/>
    </row>
    <row r="2" spans="1:31" ht="33.75" x14ac:dyDescent="0.5">
      <c r="A2" s="79" t="s">
        <v>93</v>
      </c>
      <c r="B2" s="80"/>
      <c r="C2" s="81">
        <v>46147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2"/>
      <c r="Q2" s="82"/>
    </row>
    <row r="3" spans="1:31" ht="26.25" x14ac:dyDescent="0.4">
      <c r="A3" s="80"/>
      <c r="B3" s="80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4"/>
      <c r="O3" s="84"/>
      <c r="P3" s="82"/>
      <c r="Q3" s="82"/>
      <c r="AE3" s="86"/>
    </row>
    <row r="4" spans="1:31" ht="23.25" x14ac:dyDescent="0.35">
      <c r="A4" s="80" t="s">
        <v>94</v>
      </c>
      <c r="B4" s="80"/>
      <c r="C4" s="87"/>
      <c r="D4" s="88" t="s">
        <v>95</v>
      </c>
      <c r="E4" s="88"/>
      <c r="F4" s="89"/>
      <c r="G4" s="88" t="s">
        <v>96</v>
      </c>
      <c r="H4" s="88"/>
      <c r="I4" s="88" t="s">
        <v>97</v>
      </c>
      <c r="J4" s="88"/>
      <c r="K4" s="89"/>
      <c r="L4" s="90" t="s">
        <v>98</v>
      </c>
      <c r="M4" s="89"/>
      <c r="N4" s="88" t="s">
        <v>99</v>
      </c>
      <c r="O4" s="88"/>
      <c r="P4" s="82"/>
      <c r="Q4" s="82"/>
      <c r="AE4" s="86"/>
    </row>
    <row r="5" spans="1:31" ht="23.25" x14ac:dyDescent="0.35">
      <c r="A5" s="80"/>
      <c r="B5" s="80"/>
      <c r="C5" s="87"/>
      <c r="D5" s="89" t="s">
        <v>18</v>
      </c>
      <c r="E5" s="91" t="s">
        <v>100</v>
      </c>
      <c r="F5" s="91"/>
      <c r="G5" s="89"/>
      <c r="H5" s="91"/>
      <c r="I5" s="89"/>
      <c r="J5" s="91"/>
      <c r="K5" s="91"/>
      <c r="L5" s="90"/>
      <c r="M5" s="91"/>
      <c r="N5" s="89" t="s">
        <v>20</v>
      </c>
      <c r="O5" s="91" t="s">
        <v>100</v>
      </c>
      <c r="P5" s="82"/>
      <c r="Q5" s="82"/>
      <c r="R5" s="92" t="s">
        <v>101</v>
      </c>
      <c r="S5" s="93" t="s">
        <v>102</v>
      </c>
      <c r="AE5" s="86"/>
    </row>
    <row r="6" spans="1:31" ht="26.25" x14ac:dyDescent="0.4">
      <c r="A6" s="80"/>
      <c r="B6" s="80"/>
      <c r="C6" s="30" t="s">
        <v>103</v>
      </c>
      <c r="D6" s="94">
        <f>'[1]PARTY SUMMARY 04.05.26 ( (235)'!N6</f>
        <v>0</v>
      </c>
      <c r="E6" s="94">
        <f>'[1]PARTY SUMMARY 04.05.26 ( (235)'!O6</f>
        <v>-537611.27186716162</v>
      </c>
      <c r="F6" s="94"/>
      <c r="G6" s="95"/>
      <c r="H6" s="96">
        <v>182533.05</v>
      </c>
      <c r="I6" s="96"/>
      <c r="J6" s="96"/>
      <c r="K6" s="94"/>
      <c r="L6" s="94"/>
      <c r="M6" s="94">
        <v>0</v>
      </c>
      <c r="N6" s="97">
        <f t="shared" ref="N6:O9" si="0">D6-G6-I6</f>
        <v>0</v>
      </c>
      <c r="O6" s="97">
        <f>E6-H6-J6+L6</f>
        <v>-720144.32186716166</v>
      </c>
      <c r="P6" s="82"/>
      <c r="Q6" s="82"/>
      <c r="R6" s="98" t="s">
        <v>104</v>
      </c>
      <c r="S6" s="93" t="s">
        <v>105</v>
      </c>
      <c r="AE6" s="86"/>
    </row>
    <row r="7" spans="1:31" ht="26.25" x14ac:dyDescent="0.4">
      <c r="A7" s="80"/>
      <c r="B7" s="80"/>
      <c r="C7" s="30" t="s">
        <v>27</v>
      </c>
      <c r="D7" s="94">
        <f>'[1]PARTY SUMMARY 04.05.26 ( (235)'!N7</f>
        <v>-1259300.8067063487</v>
      </c>
      <c r="E7" s="94">
        <f>'[1]PARTY SUMMARY 04.05.26 ( (235)'!O7</f>
        <v>0</v>
      </c>
      <c r="F7" s="94"/>
      <c r="G7" s="96">
        <v>150550</v>
      </c>
      <c r="H7" s="95"/>
      <c r="I7" s="96">
        <f>-42060*3.673</f>
        <v>-154486.38</v>
      </c>
      <c r="J7" s="96"/>
      <c r="K7" s="94"/>
      <c r="L7" s="94"/>
      <c r="M7" s="94">
        <v>0</v>
      </c>
      <c r="N7" s="99">
        <f t="shared" si="0"/>
        <v>-1255364.4267063485</v>
      </c>
      <c r="O7" s="97">
        <f t="shared" si="0"/>
        <v>0</v>
      </c>
      <c r="P7" s="82"/>
      <c r="Q7" s="82"/>
      <c r="R7" s="100"/>
      <c r="S7" s="101"/>
    </row>
    <row r="8" spans="1:31" ht="26.25" x14ac:dyDescent="0.4">
      <c r="A8" s="80"/>
      <c r="B8" s="80"/>
      <c r="C8" s="30" t="s">
        <v>106</v>
      </c>
      <c r="D8" s="94">
        <f>'[1]PARTY SUMMARY 04.05.26 ( (235)'!N8</f>
        <v>82275.839999999967</v>
      </c>
      <c r="E8" s="94">
        <f>'[1]PARTY SUMMARY 04.05.26 ( (235)'!O8</f>
        <v>0</v>
      </c>
      <c r="F8" s="94"/>
      <c r="G8" s="96"/>
      <c r="H8" s="95"/>
      <c r="I8" s="96"/>
      <c r="J8" s="94"/>
      <c r="K8" s="94"/>
      <c r="L8" s="94"/>
      <c r="M8" s="102">
        <v>0</v>
      </c>
      <c r="N8" s="99">
        <f t="shared" si="0"/>
        <v>82275.839999999967</v>
      </c>
      <c r="O8" s="99">
        <f t="shared" si="0"/>
        <v>0</v>
      </c>
      <c r="P8" s="82"/>
      <c r="Q8" s="82"/>
      <c r="S8" s="101"/>
    </row>
    <row r="9" spans="1:31" ht="26.25" x14ac:dyDescent="0.4">
      <c r="A9" s="80"/>
      <c r="B9" s="80"/>
      <c r="C9" s="30" t="s">
        <v>107</v>
      </c>
      <c r="D9" s="94">
        <f>'[1]PARTY SUMMARY 04.05.26 ( (235)'!N9</f>
        <v>253400</v>
      </c>
      <c r="E9" s="94">
        <f>'[1]PARTY SUMMARY 04.05.26 ( (235)'!O9</f>
        <v>0</v>
      </c>
      <c r="F9" s="94"/>
      <c r="G9" s="95"/>
      <c r="H9" s="95"/>
      <c r="I9" s="96"/>
      <c r="J9" s="94"/>
      <c r="K9" s="94"/>
      <c r="L9" s="94"/>
      <c r="M9" s="102"/>
      <c r="N9" s="99">
        <f t="shared" si="0"/>
        <v>253400</v>
      </c>
      <c r="O9" s="99"/>
      <c r="P9" s="82"/>
      <c r="Q9" s="82"/>
      <c r="S9" s="101"/>
    </row>
    <row r="10" spans="1:31" ht="26.25" x14ac:dyDescent="0.4">
      <c r="A10" s="80"/>
      <c r="B10" s="80"/>
      <c r="C10" s="30" t="s">
        <v>108</v>
      </c>
      <c r="D10" s="94">
        <f>'[1]PARTY SUMMARY 04.05.26 ( (235)'!N10</f>
        <v>110879.34551716573</v>
      </c>
      <c r="E10" s="94">
        <f>'[1]PARTY SUMMARY 04.05.26 ( (235)'!O10</f>
        <v>0</v>
      </c>
      <c r="F10" s="94"/>
      <c r="G10" s="96"/>
      <c r="H10" s="95"/>
      <c r="I10" s="96"/>
      <c r="J10" s="94"/>
      <c r="K10" s="94"/>
      <c r="L10" s="94"/>
      <c r="M10" s="102">
        <v>0</v>
      </c>
      <c r="N10" s="99">
        <f t="shared" ref="N10:N17" si="1">D10-G10-I10+L10</f>
        <v>110879.34551716573</v>
      </c>
      <c r="O10" s="99">
        <f>E10-H10-J10</f>
        <v>0</v>
      </c>
      <c r="P10" s="82"/>
      <c r="Q10" s="82"/>
    </row>
    <row r="11" spans="1:31" ht="26.25" x14ac:dyDescent="0.4">
      <c r="A11" s="80"/>
      <c r="B11" s="80"/>
      <c r="C11" s="30" t="s">
        <v>109</v>
      </c>
      <c r="D11" s="94">
        <f>'[1]PARTY SUMMARY 04.05.26 ( (235)'!N11</f>
        <v>149155.85384615383</v>
      </c>
      <c r="E11" s="94">
        <f>'[1]PARTY SUMMARY 04.05.26 ( (235)'!O11</f>
        <v>0</v>
      </c>
      <c r="F11" s="94"/>
      <c r="G11" s="96">
        <f>380000/25.88</f>
        <v>14683.153013910356</v>
      </c>
      <c r="H11" s="95"/>
      <c r="I11" s="96"/>
      <c r="J11" s="94"/>
      <c r="K11" s="94"/>
      <c r="L11" s="94"/>
      <c r="M11" s="102"/>
      <c r="N11" s="99">
        <f t="shared" si="1"/>
        <v>134472.70083224348</v>
      </c>
      <c r="O11" s="99"/>
      <c r="P11" s="82"/>
      <c r="Q11" s="82"/>
      <c r="R11" s="100"/>
      <c r="S11" s="101"/>
    </row>
    <row r="12" spans="1:31" ht="26.25" x14ac:dyDescent="0.4">
      <c r="A12" s="80"/>
      <c r="B12" s="80"/>
      <c r="C12" s="30" t="s">
        <v>110</v>
      </c>
      <c r="D12" s="94">
        <f>'[1]PARTY SUMMARY 04.05.26 ( (235)'!N12</f>
        <v>-4.7293724492192268E-11</v>
      </c>
      <c r="E12" s="94">
        <f>'[1]PARTY SUMMARY 04.05.26 ( (235)'!O12</f>
        <v>0</v>
      </c>
      <c r="F12" s="94"/>
      <c r="G12" s="96"/>
      <c r="H12" s="95"/>
      <c r="I12" s="96"/>
      <c r="J12" s="94"/>
      <c r="K12" s="94"/>
      <c r="L12" s="94"/>
      <c r="M12" s="102"/>
      <c r="N12" s="99">
        <f t="shared" si="1"/>
        <v>-4.7293724492192268E-11</v>
      </c>
      <c r="O12" s="99"/>
      <c r="P12" s="82"/>
      <c r="Q12" s="82"/>
      <c r="R12" s="103"/>
      <c r="S12" s="101"/>
    </row>
    <row r="13" spans="1:31" ht="26.25" x14ac:dyDescent="0.4">
      <c r="A13" s="80"/>
      <c r="B13" s="80"/>
      <c r="C13" s="30" t="s">
        <v>111</v>
      </c>
      <c r="D13" s="94">
        <f>'[1]PARTY SUMMARY 04.05.26 ( (235)'!N13</f>
        <v>51383.399209486168</v>
      </c>
      <c r="E13" s="94">
        <f>'[1]PARTY SUMMARY 04.05.26 ( (235)'!O13</f>
        <v>0</v>
      </c>
      <c r="F13" s="94"/>
      <c r="G13" s="95"/>
      <c r="H13" s="95"/>
      <c r="I13" s="95"/>
      <c r="J13" s="94"/>
      <c r="K13" s="94"/>
      <c r="L13" s="94"/>
      <c r="M13" s="102"/>
      <c r="N13" s="99">
        <f t="shared" si="1"/>
        <v>51383.399209486168</v>
      </c>
      <c r="O13" s="99"/>
      <c r="P13" s="82"/>
      <c r="Q13" s="82"/>
      <c r="R13" s="100"/>
    </row>
    <row r="14" spans="1:31" ht="26.25" x14ac:dyDescent="0.4">
      <c r="A14" s="80"/>
      <c r="B14" s="80"/>
      <c r="C14" s="30" t="s">
        <v>112</v>
      </c>
      <c r="D14" s="94">
        <f>'[1]PARTY SUMMARY 04.05.26 ( (235)'!N14</f>
        <v>0</v>
      </c>
      <c r="E14" s="94">
        <f>'[1]PARTY SUMMARY 04.05.26 ( (235)'!O14</f>
        <v>-189789.29898203592</v>
      </c>
      <c r="F14" s="94"/>
      <c r="G14" s="95"/>
      <c r="H14" s="95"/>
      <c r="I14" s="95"/>
      <c r="J14" s="95"/>
      <c r="K14" s="94"/>
      <c r="L14" s="94"/>
      <c r="M14" s="102"/>
      <c r="N14" s="99">
        <f t="shared" si="1"/>
        <v>0</v>
      </c>
      <c r="O14" s="99">
        <f>E14-H14-J14</f>
        <v>-189789.29898203592</v>
      </c>
      <c r="P14" s="82"/>
      <c r="Q14" s="82"/>
      <c r="R14" s="104"/>
    </row>
    <row r="15" spans="1:31" ht="26.25" x14ac:dyDescent="0.4">
      <c r="A15" s="80"/>
      <c r="B15" s="80"/>
      <c r="C15" s="30" t="s">
        <v>113</v>
      </c>
      <c r="D15" s="94">
        <f>'[1]PARTY SUMMARY 04.05.26 ( (235)'!N15</f>
        <v>867647.72105058376</v>
      </c>
      <c r="E15" s="94">
        <f>'[1]PARTY SUMMARY 04.05.26 ( (235)'!O15</f>
        <v>0</v>
      </c>
      <c r="F15" s="94"/>
      <c r="G15" s="96"/>
      <c r="H15" s="94"/>
      <c r="I15" s="96"/>
      <c r="J15" s="94"/>
      <c r="K15" s="94"/>
      <c r="L15" s="94"/>
      <c r="M15" s="102">
        <v>0</v>
      </c>
      <c r="N15" s="99">
        <f t="shared" si="1"/>
        <v>867647.72105058376</v>
      </c>
      <c r="O15" s="99">
        <f>E15-H15-J15</f>
        <v>0</v>
      </c>
      <c r="P15" s="82"/>
      <c r="Q15" s="82"/>
    </row>
    <row r="16" spans="1:31" ht="26.25" x14ac:dyDescent="0.4">
      <c r="A16" s="80"/>
      <c r="B16" s="80"/>
      <c r="C16" s="30" t="s">
        <v>114</v>
      </c>
      <c r="D16" s="94">
        <f>'[1]PARTY SUMMARY 04.05.26 ( (235)'!N16</f>
        <v>761498.47</v>
      </c>
      <c r="E16" s="94">
        <f>'[1]PARTY SUMMARY 04.05.26 ( (235)'!O16</f>
        <v>0</v>
      </c>
      <c r="F16" s="105"/>
      <c r="G16" s="96">
        <v>344900</v>
      </c>
      <c r="H16" s="96"/>
      <c r="I16" s="96"/>
      <c r="J16" s="105"/>
      <c r="K16" s="105"/>
      <c r="L16" s="105"/>
      <c r="M16" s="105">
        <v>0</v>
      </c>
      <c r="N16" s="106">
        <f t="shared" si="1"/>
        <v>416598.47</v>
      </c>
      <c r="O16" s="106"/>
      <c r="P16" s="82"/>
      <c r="Q16" s="82"/>
      <c r="R16" s="100"/>
    </row>
    <row r="17" spans="1:19" ht="26.25" x14ac:dyDescent="0.4">
      <c r="A17" s="80"/>
      <c r="B17" s="80"/>
      <c r="C17" s="30" t="s">
        <v>115</v>
      </c>
      <c r="D17" s="94">
        <f>'[1]PARTY SUMMARY 04.05.26 ( (235)'!N17</f>
        <v>5790.1300000000047</v>
      </c>
      <c r="E17" s="94">
        <f>'[1]PARTY SUMMARY 04.05.26 ( (235)'!O17</f>
        <v>0</v>
      </c>
      <c r="F17" s="105"/>
      <c r="G17" s="96"/>
      <c r="H17" s="96"/>
      <c r="I17" s="96"/>
      <c r="J17" s="105"/>
      <c r="K17" s="105"/>
      <c r="L17" s="105"/>
      <c r="M17" s="105"/>
      <c r="N17" s="106">
        <f t="shared" si="1"/>
        <v>5790.1300000000047</v>
      </c>
      <c r="O17" s="106"/>
      <c r="P17" s="82"/>
      <c r="Q17" s="82"/>
      <c r="R17" s="100"/>
    </row>
    <row r="18" spans="1:19" ht="26.25" x14ac:dyDescent="0.4">
      <c r="A18" s="80"/>
      <c r="B18" s="80"/>
      <c r="C18" s="30" t="s">
        <v>116</v>
      </c>
      <c r="D18" s="94">
        <f>'[1]PARTY SUMMARY 04.05.26 ( (235)'!N18</f>
        <v>6380.8699999999953</v>
      </c>
      <c r="E18" s="94">
        <f>'[1]PARTY SUMMARY 04.05.26 ( (235)'!O18</f>
        <v>0</v>
      </c>
      <c r="F18" s="94"/>
      <c r="G18" s="96"/>
      <c r="H18" s="95"/>
      <c r="I18" s="95"/>
      <c r="J18" s="94"/>
      <c r="K18" s="94"/>
      <c r="L18" s="94"/>
      <c r="M18" s="102">
        <v>0</v>
      </c>
      <c r="N18" s="99">
        <f t="shared" ref="N18" si="2">D18-G18-I18</f>
        <v>6380.8699999999953</v>
      </c>
      <c r="O18" s="99"/>
      <c r="P18" s="82"/>
      <c r="Q18" s="82"/>
      <c r="R18" s="96"/>
    </row>
    <row r="19" spans="1:19" ht="26.25" x14ac:dyDescent="0.4">
      <c r="A19" s="80"/>
      <c r="B19" s="80"/>
      <c r="C19" s="30" t="s">
        <v>117</v>
      </c>
      <c r="D19" s="94">
        <f>'[1]PARTY SUMMARY 04.05.26 ( (235)'!N19</f>
        <v>21930</v>
      </c>
      <c r="E19" s="94">
        <f>'[1]PARTY SUMMARY 04.05.26 ( (235)'!O19</f>
        <v>0</v>
      </c>
      <c r="F19" s="94"/>
      <c r="G19" s="95"/>
      <c r="H19" s="95"/>
      <c r="I19" s="95"/>
      <c r="J19" s="95"/>
      <c r="K19" s="94"/>
      <c r="L19" s="94"/>
      <c r="M19" s="102">
        <v>0</v>
      </c>
      <c r="N19" s="99">
        <f>D19-G19-I19</f>
        <v>21930</v>
      </c>
      <c r="O19" s="99">
        <v>0</v>
      </c>
      <c r="P19" s="82"/>
      <c r="Q19" s="82"/>
    </row>
    <row r="20" spans="1:19" ht="26.25" x14ac:dyDescent="0.4">
      <c r="A20" s="80"/>
      <c r="B20" s="80"/>
      <c r="C20" s="30" t="s">
        <v>118</v>
      </c>
      <c r="D20" s="94">
        <f>'[1]PARTY SUMMARY 04.05.26 ( (235)'!N20</f>
        <v>81605.5756728329</v>
      </c>
      <c r="E20" s="94">
        <f>'[1]PARTY SUMMARY 04.05.26 ( (235)'!O20</f>
        <v>0</v>
      </c>
      <c r="F20" s="94"/>
      <c r="G20" s="96"/>
      <c r="H20" s="95"/>
      <c r="I20" s="96"/>
      <c r="J20" s="94"/>
      <c r="K20" s="94"/>
      <c r="L20" s="94"/>
      <c r="M20" s="102">
        <v>0</v>
      </c>
      <c r="N20" s="99">
        <f>D20-G20-I20</f>
        <v>81605.5756728329</v>
      </c>
      <c r="O20" s="99">
        <f>E20-H20-J20</f>
        <v>0</v>
      </c>
      <c r="P20" s="82"/>
      <c r="Q20" s="82"/>
    </row>
    <row r="21" spans="1:19" ht="26.25" x14ac:dyDescent="0.4">
      <c r="A21" s="80"/>
      <c r="B21" s="80"/>
      <c r="C21" s="30" t="s">
        <v>119</v>
      </c>
      <c r="D21" s="94">
        <f>'[1]PARTY SUMMARY 04.05.26 ( (235)'!N21</f>
        <v>-1072806.4689113593</v>
      </c>
      <c r="E21" s="94">
        <f>'[1]PARTY SUMMARY 04.05.26 ( (235)'!O21</f>
        <v>0</v>
      </c>
      <c r="F21" s="94"/>
      <c r="G21" s="95"/>
      <c r="H21" s="95"/>
      <c r="I21" s="95"/>
      <c r="J21" s="94"/>
      <c r="K21" s="94"/>
      <c r="L21" s="94"/>
      <c r="M21" s="102"/>
      <c r="N21" s="99">
        <f t="shared" ref="N21:N23" si="3">D21-G21-I21</f>
        <v>-1072806.4689113593</v>
      </c>
      <c r="O21" s="99"/>
      <c r="P21" s="82"/>
      <c r="Q21" s="82"/>
    </row>
    <row r="22" spans="1:19" ht="26.25" x14ac:dyDescent="0.4">
      <c r="A22" s="80"/>
      <c r="B22" s="80"/>
      <c r="C22" s="30" t="s">
        <v>120</v>
      </c>
      <c r="D22" s="94">
        <f>'[1]PARTY SUMMARY 04.05.26 ( (235)'!N22</f>
        <v>-401615.93648085138</v>
      </c>
      <c r="E22" s="94">
        <f>'[1]PARTY SUMMARY 04.05.26 ( (235)'!O22</f>
        <v>0</v>
      </c>
      <c r="F22" s="94"/>
      <c r="G22" s="96"/>
      <c r="H22" s="96"/>
      <c r="I22" s="96">
        <v>-353000</v>
      </c>
      <c r="J22" s="96"/>
      <c r="K22" s="94"/>
      <c r="L22" s="94"/>
      <c r="M22" s="102"/>
      <c r="N22" s="99">
        <f t="shared" si="3"/>
        <v>-48615.936480851378</v>
      </c>
      <c r="O22" s="99"/>
      <c r="P22" s="82"/>
      <c r="Q22" s="82"/>
    </row>
    <row r="23" spans="1:19" ht="52.5" x14ac:dyDescent="0.4">
      <c r="A23" s="80"/>
      <c r="B23" s="80"/>
      <c r="C23" s="30" t="s">
        <v>121</v>
      </c>
      <c r="D23" s="94">
        <f>'[1]PARTY SUMMARY 04.05.26 ( (235)'!N23</f>
        <v>-293188.41999999993</v>
      </c>
      <c r="E23" s="94">
        <f>'[1]PARTY SUMMARY 04.05.26 ( (235)'!O23</f>
        <v>0</v>
      </c>
      <c r="F23" s="94"/>
      <c r="G23" s="96"/>
      <c r="H23" s="95"/>
      <c r="I23" s="96"/>
      <c r="J23" s="94"/>
      <c r="K23" s="94"/>
      <c r="L23" s="94"/>
      <c r="M23" s="102"/>
      <c r="N23" s="99">
        <f t="shared" si="3"/>
        <v>-293188.41999999993</v>
      </c>
      <c r="O23" s="99"/>
      <c r="P23" s="82"/>
      <c r="Q23" s="82"/>
    </row>
    <row r="24" spans="1:19" ht="26.25" x14ac:dyDescent="0.4">
      <c r="A24" s="80"/>
      <c r="B24" s="80"/>
      <c r="C24" s="30" t="s">
        <v>122</v>
      </c>
      <c r="D24" s="94">
        <f>'[1]PARTY SUMMARY 04.05.26 ( (235)'!N24</f>
        <v>5300</v>
      </c>
      <c r="E24" s="94">
        <f>'[1]PARTY SUMMARY 04.05.26 ( (235)'!O24</f>
        <v>0</v>
      </c>
      <c r="F24" s="94"/>
      <c r="G24" s="96">
        <v>22050</v>
      </c>
      <c r="H24" s="96"/>
      <c r="I24" s="96"/>
      <c r="J24" s="96"/>
      <c r="K24" s="94"/>
      <c r="L24" s="95"/>
      <c r="M24" s="102"/>
      <c r="N24" s="99">
        <f>D24-G24-I24+L24</f>
        <v>-16750</v>
      </c>
      <c r="O24" s="99"/>
      <c r="P24" s="82"/>
      <c r="Q24" s="82"/>
      <c r="R24" s="107"/>
      <c r="S24" s="99"/>
    </row>
    <row r="25" spans="1:19" ht="26.25" x14ac:dyDescent="0.4">
      <c r="A25" s="80"/>
      <c r="B25" s="80"/>
      <c r="C25" s="35" t="s">
        <v>123</v>
      </c>
      <c r="D25" s="94">
        <f>'[1]PARTY SUMMARY 04.05.26 ( (235)'!N25</f>
        <v>-214786.53999999986</v>
      </c>
      <c r="E25" s="94">
        <f>'[1]PARTY SUMMARY 04.05.26 ( (235)'!O25</f>
        <v>0</v>
      </c>
      <c r="F25" s="94"/>
      <c r="G25" s="96"/>
      <c r="H25" s="96"/>
      <c r="I25" s="96"/>
      <c r="J25" s="96"/>
      <c r="K25" s="94"/>
      <c r="L25" s="95"/>
      <c r="M25" s="102"/>
      <c r="N25" s="99">
        <f t="shared" ref="N25:N37" si="4">D25-G25-I25+L25</f>
        <v>-214786.53999999986</v>
      </c>
      <c r="O25" s="99"/>
      <c r="P25" s="82"/>
      <c r="Q25" s="82"/>
      <c r="R25" s="107"/>
      <c r="S25" s="99"/>
    </row>
    <row r="26" spans="1:19" ht="26.25" x14ac:dyDescent="0.4">
      <c r="A26" s="80"/>
      <c r="B26" s="80"/>
      <c r="C26" s="30" t="s">
        <v>51</v>
      </c>
      <c r="D26" s="94">
        <f>'[1]PARTY SUMMARY 04.05.26 ( (235)'!N26</f>
        <v>4617.3773000001092</v>
      </c>
      <c r="E26" s="94">
        <f>'[1]PARTY SUMMARY 04.05.26 ( (235)'!O26</f>
        <v>0</v>
      </c>
      <c r="F26" s="94"/>
      <c r="G26" s="96">
        <v>1031390</v>
      </c>
      <c r="H26" s="96"/>
      <c r="I26" s="96"/>
      <c r="J26" s="96"/>
      <c r="K26" s="94"/>
      <c r="L26" s="96">
        <v>56050.01</v>
      </c>
      <c r="M26" s="102"/>
      <c r="N26" s="99">
        <f>D26-G26-I26+L26</f>
        <v>-970722.61269999994</v>
      </c>
      <c r="O26" s="99"/>
      <c r="P26" s="82"/>
      <c r="Q26" s="82"/>
      <c r="R26" s="107"/>
    </row>
    <row r="27" spans="1:19" ht="26.25" x14ac:dyDescent="0.4">
      <c r="A27" s="80"/>
      <c r="B27" s="80"/>
      <c r="C27" s="30" t="s">
        <v>124</v>
      </c>
      <c r="D27" s="94">
        <f>'[1]PARTY SUMMARY 04.05.26 ( (235)'!N27</f>
        <v>-735174.54</v>
      </c>
      <c r="E27" s="94">
        <f>'[1]PARTY SUMMARY 04.05.26 ( (235)'!O27</f>
        <v>0</v>
      </c>
      <c r="F27" s="94"/>
      <c r="G27" s="96"/>
      <c r="H27" s="96"/>
      <c r="I27" s="96">
        <v>-735170</v>
      </c>
      <c r="J27" s="96"/>
      <c r="K27" s="94"/>
      <c r="L27" s="95"/>
      <c r="M27" s="102"/>
      <c r="N27" s="99">
        <f>D27-G27-I27+L27</f>
        <v>-4.5400000000372529</v>
      </c>
      <c r="O27" s="99"/>
      <c r="P27" s="82"/>
      <c r="Q27" s="82"/>
      <c r="R27" s="107"/>
    </row>
    <row r="28" spans="1:19" ht="26.25" x14ac:dyDescent="0.4">
      <c r="A28" s="80"/>
      <c r="B28" s="80"/>
      <c r="C28" s="30" t="s">
        <v>125</v>
      </c>
      <c r="D28" s="94">
        <f>'[1]PARTY SUMMARY 04.05.26 ( (235)'!N28</f>
        <v>5000</v>
      </c>
      <c r="E28" s="94">
        <f>'[1]PARTY SUMMARY 04.05.26 ( (235)'!O28</f>
        <v>0</v>
      </c>
      <c r="F28" s="94"/>
      <c r="G28" s="96"/>
      <c r="H28" s="96"/>
      <c r="I28" s="96"/>
      <c r="J28" s="96"/>
      <c r="K28" s="94"/>
      <c r="L28" s="95"/>
      <c r="M28" s="102"/>
      <c r="N28" s="99">
        <f>D28-G28-I28+L28</f>
        <v>5000</v>
      </c>
      <c r="O28" s="99"/>
      <c r="P28" s="82"/>
      <c r="Q28" s="82"/>
      <c r="R28" s="107"/>
    </row>
    <row r="29" spans="1:19" ht="26.25" x14ac:dyDescent="0.4">
      <c r="A29" s="80"/>
      <c r="B29" s="80"/>
      <c r="C29" s="30" t="s">
        <v>126</v>
      </c>
      <c r="D29" s="94">
        <f>'[1]PARTY SUMMARY 04.05.26 ( (235)'!N29</f>
        <v>3000</v>
      </c>
      <c r="E29" s="94">
        <f>'[1]PARTY SUMMARY 04.05.26 ( (235)'!O29</f>
        <v>0</v>
      </c>
      <c r="F29" s="94"/>
      <c r="G29" s="95"/>
      <c r="I29" s="96"/>
      <c r="J29" s="96"/>
      <c r="K29" s="94"/>
      <c r="L29" s="95"/>
      <c r="M29" s="102"/>
      <c r="N29" s="99">
        <f t="shared" si="4"/>
        <v>3000</v>
      </c>
      <c r="O29" s="99"/>
      <c r="P29" s="82"/>
      <c r="Q29" s="82"/>
      <c r="R29" s="107"/>
    </row>
    <row r="30" spans="1:19" ht="26.25" x14ac:dyDescent="0.4">
      <c r="A30" s="80"/>
      <c r="B30" s="80"/>
      <c r="C30" s="30" t="s">
        <v>127</v>
      </c>
      <c r="D30" s="94">
        <f>'[1]PARTY SUMMARY 04.05.26 ( (235)'!N30</f>
        <v>-54968.25</v>
      </c>
      <c r="E30" s="94">
        <f>'[1]PARTY SUMMARY 04.05.26 ( (235)'!O30</f>
        <v>0</v>
      </c>
      <c r="F30" s="94"/>
      <c r="G30" s="96"/>
      <c r="H30" s="96"/>
      <c r="I30" s="96"/>
      <c r="J30" s="96"/>
      <c r="K30" s="94"/>
      <c r="L30" s="95"/>
      <c r="M30" s="102"/>
      <c r="N30" s="99">
        <f t="shared" si="4"/>
        <v>-54968.25</v>
      </c>
      <c r="O30" s="99"/>
      <c r="P30" s="82"/>
      <c r="Q30" s="82"/>
      <c r="R30" s="107"/>
    </row>
    <row r="31" spans="1:19" ht="26.25" x14ac:dyDescent="0.4">
      <c r="A31" s="80"/>
      <c r="B31" s="80"/>
      <c r="C31" s="37" t="s">
        <v>128</v>
      </c>
      <c r="D31" s="94">
        <f>'[1]PARTY SUMMARY 04.05.26 ( (235)'!N31</f>
        <v>-1486179.7700000003</v>
      </c>
      <c r="E31" s="94">
        <f>'[1]PARTY SUMMARY 04.05.26 ( (235)'!O31</f>
        <v>0</v>
      </c>
      <c r="F31" s="105"/>
      <c r="G31" s="96"/>
      <c r="H31" s="108"/>
      <c r="I31" s="96"/>
      <c r="J31" s="108"/>
      <c r="K31" s="105"/>
      <c r="L31" s="109"/>
      <c r="M31" s="105"/>
      <c r="N31" s="106">
        <f t="shared" si="4"/>
        <v>-1486179.7700000003</v>
      </c>
      <c r="O31" s="106"/>
      <c r="P31" s="82"/>
      <c r="Q31" s="82"/>
      <c r="R31" s="107"/>
    </row>
    <row r="32" spans="1:19" ht="26.25" x14ac:dyDescent="0.4">
      <c r="A32" s="80"/>
      <c r="B32" s="80"/>
      <c r="C32" s="37" t="s">
        <v>129</v>
      </c>
      <c r="D32" s="94">
        <f>'[1]PARTY SUMMARY 04.05.26 ( (235)'!N32</f>
        <v>67598</v>
      </c>
      <c r="E32" s="94">
        <f>'[1]PARTY SUMMARY 04.05.26 ( (235)'!O32</f>
        <v>0</v>
      </c>
      <c r="F32" s="105"/>
      <c r="G32" s="96"/>
      <c r="I32" s="96"/>
      <c r="J32" s="108"/>
      <c r="K32" s="105"/>
      <c r="L32" s="109"/>
      <c r="M32" s="105"/>
      <c r="N32" s="106">
        <f t="shared" si="4"/>
        <v>67598</v>
      </c>
      <c r="O32" s="106"/>
      <c r="P32" s="82"/>
      <c r="Q32" s="82"/>
      <c r="R32" s="110"/>
    </row>
    <row r="33" spans="1:31" ht="26.25" x14ac:dyDescent="0.4">
      <c r="A33" s="80"/>
      <c r="B33" s="80"/>
      <c r="C33" s="30" t="s">
        <v>130</v>
      </c>
      <c r="D33" s="94">
        <f>'[1]PARTY SUMMARY 04.05.26 ( (235)'!N34</f>
        <v>22450</v>
      </c>
      <c r="E33" s="94">
        <f>'[1]PARTY SUMMARY 04.05.26 ( (235)'!O34</f>
        <v>0</v>
      </c>
      <c r="F33" s="94"/>
      <c r="G33" s="96"/>
      <c r="H33" s="96"/>
      <c r="I33" s="96"/>
      <c r="J33" s="96"/>
      <c r="K33" s="94"/>
      <c r="L33" s="95"/>
      <c r="M33" s="102"/>
      <c r="N33" s="99">
        <f t="shared" si="4"/>
        <v>22450</v>
      </c>
      <c r="O33" s="99"/>
      <c r="P33" s="82"/>
      <c r="Q33" s="82"/>
    </row>
    <row r="34" spans="1:31" ht="26.25" x14ac:dyDescent="0.4">
      <c r="A34" s="80"/>
      <c r="B34" s="80"/>
      <c r="C34" s="30" t="s">
        <v>131</v>
      </c>
      <c r="D34" s="94">
        <f>'[1]PARTY SUMMARY 04.05.26 ( (235)'!N35</f>
        <v>-22</v>
      </c>
      <c r="E34" s="94">
        <f>'[1]PARTY SUMMARY 04.05.26 ( (235)'!O35</f>
        <v>0</v>
      </c>
      <c r="F34" s="94"/>
      <c r="G34" s="96"/>
      <c r="H34" s="96"/>
      <c r="I34" s="96"/>
      <c r="J34" s="96"/>
      <c r="K34" s="94"/>
      <c r="L34" s="95"/>
      <c r="M34" s="102"/>
      <c r="N34" s="99">
        <f t="shared" si="4"/>
        <v>-22</v>
      </c>
      <c r="O34" s="99"/>
      <c r="P34" s="82"/>
      <c r="Q34" s="82"/>
    </row>
    <row r="35" spans="1:31" s="83" customFormat="1" ht="26.25" x14ac:dyDescent="0.4">
      <c r="A35" s="80"/>
      <c r="B35" s="80"/>
      <c r="C35" s="37" t="s">
        <v>132</v>
      </c>
      <c r="D35" s="94">
        <f>'[1]PARTY SUMMARY 04.05.26 ( (235)'!N36</f>
        <v>-1400</v>
      </c>
      <c r="E35" s="94">
        <f>'[1]PARTY SUMMARY 04.05.26 ( (235)'!O36</f>
        <v>0</v>
      </c>
      <c r="F35" s="94"/>
      <c r="G35" s="96"/>
      <c r="H35" s="96"/>
      <c r="I35" s="96"/>
      <c r="J35" s="96"/>
      <c r="K35" s="94"/>
      <c r="L35" s="95"/>
      <c r="M35" s="102"/>
      <c r="N35" s="99">
        <f t="shared" si="4"/>
        <v>-1400</v>
      </c>
      <c r="O35" s="99"/>
      <c r="P35" s="82"/>
      <c r="Q35" s="82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83" customFormat="1" ht="26.25" x14ac:dyDescent="0.4">
      <c r="A36" s="80"/>
      <c r="B36" s="80"/>
      <c r="C36" s="37" t="s">
        <v>133</v>
      </c>
      <c r="D36" s="94">
        <f>'[1]PARTY SUMMARY 04.05.26 ( (235)'!N37</f>
        <v>-140000</v>
      </c>
      <c r="E36" s="94">
        <f>'[1]PARTY SUMMARY 04.05.26 ( (235)'!O37</f>
        <v>0</v>
      </c>
      <c r="F36" s="94"/>
      <c r="G36" s="96"/>
      <c r="H36" s="96"/>
      <c r="I36" s="96"/>
      <c r="J36" s="96"/>
      <c r="K36" s="94"/>
      <c r="L36" s="95"/>
      <c r="M36" s="102"/>
      <c r="N36" s="99">
        <f t="shared" si="4"/>
        <v>-140000</v>
      </c>
      <c r="O36" s="99"/>
      <c r="P36" s="82"/>
      <c r="Q36" s="82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83" customFormat="1" ht="26.25" x14ac:dyDescent="0.4">
      <c r="A37" s="80"/>
      <c r="B37" s="80"/>
      <c r="C37" s="30" t="s">
        <v>134</v>
      </c>
      <c r="D37" s="94">
        <f>'[1]PARTY SUMMARY 04.05.26 ( (235)'!N38</f>
        <v>117205.97999999998</v>
      </c>
      <c r="E37" s="94">
        <f>'[1]PARTY SUMMARY 04.05.26 ( (235)'!O38</f>
        <v>0</v>
      </c>
      <c r="F37" s="94"/>
      <c r="G37" s="96"/>
      <c r="H37" s="96"/>
      <c r="I37" s="96"/>
      <c r="J37" s="96"/>
      <c r="K37" s="94"/>
      <c r="L37" s="95"/>
      <c r="M37" s="102"/>
      <c r="N37" s="99">
        <f t="shared" si="4"/>
        <v>117205.97999999998</v>
      </c>
      <c r="O37" s="99"/>
      <c r="P37" s="82"/>
      <c r="Q37" s="82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s="83" customFormat="1" ht="28.5" x14ac:dyDescent="0.45">
      <c r="A38" s="80"/>
      <c r="B38" s="80"/>
      <c r="C38" s="111" t="s">
        <v>12</v>
      </c>
      <c r="D38" s="94">
        <f>SUM(D6:D37)</f>
        <v>-3042324.169502337</v>
      </c>
      <c r="E38" s="94">
        <f>SUM(E6:E37)</f>
        <v>-727400.57084919757</v>
      </c>
      <c r="F38" s="112">
        <f>SUM(F6:F33)</f>
        <v>0</v>
      </c>
      <c r="G38" s="94">
        <f>SUM(G6:G37)</f>
        <v>1563573.1530139104</v>
      </c>
      <c r="H38" s="112">
        <f>SUM(H6:H37)</f>
        <v>182533.05</v>
      </c>
      <c r="I38" s="112">
        <f>SUM(I6:I37)</f>
        <v>-1242656.3799999999</v>
      </c>
      <c r="J38" s="112">
        <f>SUM(J6:J37)</f>
        <v>0</v>
      </c>
      <c r="K38" s="112"/>
      <c r="L38" s="112"/>
      <c r="M38" s="112"/>
      <c r="N38" s="112">
        <f>SUM(N6:N37)</f>
        <v>-3307190.9325162475</v>
      </c>
      <c r="O38" s="112">
        <f>SUM(O6:O37)</f>
        <v>-909933.62084919761</v>
      </c>
      <c r="P38" s="82"/>
      <c r="Q38" s="82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s="83" customFormat="1" ht="26.25" x14ac:dyDescent="0.4">
      <c r="A39" s="80"/>
      <c r="B39" s="80"/>
      <c r="C39" s="35"/>
      <c r="D39" s="94">
        <f>'[1]PARTY SUMMARY 18.2.26 F (173)'!N38</f>
        <v>0</v>
      </c>
      <c r="E39" s="94">
        <f>'[1]PARTY SUMMARY 09.04.26 ( (214)'!O45</f>
        <v>0</v>
      </c>
      <c r="F39" s="113"/>
      <c r="G39" s="114"/>
      <c r="H39" s="115"/>
      <c r="I39" s="114"/>
      <c r="J39" s="115"/>
      <c r="K39" s="113"/>
      <c r="L39" s="113"/>
      <c r="M39" s="113"/>
      <c r="N39" s="116">
        <f t="shared" ref="N39" si="5">D39-G39-I39</f>
        <v>0</v>
      </c>
      <c r="O39" s="116"/>
      <c r="P39" s="82"/>
      <c r="Q39" s="82"/>
      <c r="S39"/>
      <c r="T39"/>
      <c r="U39"/>
      <c r="V39"/>
      <c r="W39"/>
      <c r="X39"/>
      <c r="Y39"/>
      <c r="Z39"/>
      <c r="AA39"/>
      <c r="AB39"/>
      <c r="AC39"/>
      <c r="AD39"/>
      <c r="AE39"/>
    </row>
    <row r="43" spans="1:31" x14ac:dyDescent="0.25">
      <c r="E43">
        <v>32386.38</v>
      </c>
    </row>
  </sheetData>
  <mergeCells count="6">
    <mergeCell ref="C2:O2"/>
    <mergeCell ref="D4:E4"/>
    <mergeCell ref="G4:H4"/>
    <mergeCell ref="I4:J4"/>
    <mergeCell ref="L4:L5"/>
    <mergeCell ref="N4:O4"/>
  </mergeCells>
  <conditionalFormatting sqref="D6:E39 N6:O39 R24:R32 F38:J3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S24:S25"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</dc:creator>
  <cp:lastModifiedBy>Aakash</cp:lastModifiedBy>
  <dcterms:created xsi:type="dcterms:W3CDTF">2026-05-05T14:53:40Z</dcterms:created>
  <dcterms:modified xsi:type="dcterms:W3CDTF">2026-05-05T14:54:22Z</dcterms:modified>
</cp:coreProperties>
</file>